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800" tabRatio="600" firstSheet="0" activeTab="0" autoFilterDateGrouping="1"/>
  </bookViews>
  <sheets>
    <sheet xmlns:r="http://schemas.openxmlformats.org/officeDocument/2006/relationships" name="Summary" sheetId="1" state="visible" r:id="rId1"/>
    <sheet xmlns:r="http://schemas.openxmlformats.org/officeDocument/2006/relationships" name="Testcases" sheetId="2" state="visible" r:id="rId2"/>
    <sheet xmlns:r="http://schemas.openxmlformats.org/officeDocument/2006/relationships" name="Bugs" sheetId="3" state="visible" r:id="rId3"/>
    <sheet xmlns:r="http://schemas.openxmlformats.org/officeDocument/2006/relationships" name="Questions &amp; Assumptions" sheetId="4" state="visible" r:id="rId4"/>
  </sheets>
  <definedNames/>
  <calcPr calcId="191029" fullCalcOnLoad="1"/>
</workbook>
</file>

<file path=xl/styles.xml><?xml version="1.0" encoding="utf-8"?>
<styleSheet xmlns="http://schemas.openxmlformats.org/spreadsheetml/2006/main">
  <numFmts count="1">
    <numFmt numFmtId="164" formatCode="yyyy\-mm\-dd"/>
  </numFmts>
  <fonts count="33">
    <font>
      <name val="Arial"/>
      <charset val="134"/>
      <color rgb="FF000000"/>
      <sz val="10"/>
      <scheme val="minor"/>
    </font>
    <font>
      <name val="Calibri"/>
      <charset val="134"/>
      <b val="1"/>
      <color rgb="FFFFFFFF"/>
      <sz val="12"/>
    </font>
    <font>
      <name val="Calibri"/>
      <charset val="134"/>
      <color rgb="FF000000"/>
      <sz val="11"/>
    </font>
    <font>
      <name val="Calibri"/>
      <charset val="134"/>
      <color theme="1"/>
      <sz val="11"/>
    </font>
    <font>
      <name val="Arial"/>
      <charset val="134"/>
      <color theme="1"/>
      <sz val="10"/>
      <scheme val="minor"/>
    </font>
    <font>
      <name val="Arial"/>
      <charset val="134"/>
      <color theme="1"/>
      <sz val="12"/>
      <scheme val="minor"/>
    </font>
    <font>
      <name val="Calibri"/>
      <charset val="134"/>
      <b val="1"/>
      <color rgb="FF000000"/>
      <sz val="11"/>
    </font>
    <font>
      <name val="Arial"/>
      <charset val="134"/>
      <b val="1"/>
      <color theme="1"/>
      <sz val="10"/>
      <scheme val="minor"/>
    </font>
    <font>
      <name val="Arial"/>
      <charset val="134"/>
      <color theme="1"/>
      <sz val="11"/>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sz val="18"/>
    </font>
    <font>
      <name val="Calibri"/>
      <b val="1"/>
      <sz val="11"/>
    </font>
    <font>
      <name val="Calibri"/>
      <b val="1"/>
      <color rgb="FF1E293B"/>
      <sz val="13"/>
    </font>
    <font>
      <name val="Calibri"/>
      <b val="1"/>
      <color rgb="FFFFFFFF"/>
      <sz val="12"/>
    </font>
    <font>
      <name val="Calibri"/>
      <sz val="11"/>
    </font>
  </fonts>
  <fills count="40">
    <fill>
      <patternFill/>
    </fill>
    <fill>
      <patternFill patternType="gray125"/>
    </fill>
    <fill>
      <patternFill patternType="solid">
        <fgColor rgb="FF2F5FD0"/>
        <bgColor rgb="FF2F5FD0"/>
      </patternFill>
    </fill>
    <fill>
      <patternFill patternType="solid">
        <fgColor rgb="FFF8FAFC"/>
        <bgColor rgb="FFF8FAFC"/>
      </patternFill>
    </fill>
    <fill>
      <patternFill patternType="solid">
        <fgColor rgb="FFC6EFCE"/>
        <bgColor rgb="FFC6EFCE"/>
      </patternFill>
    </fill>
    <fill>
      <patternFill patternType="solid">
        <fgColor rgb="FFFFC7CE"/>
        <bgColor rgb="FFFFC7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E2E8F0"/>
      </patternFill>
    </fill>
    <fill>
      <patternFill patternType="solid">
        <fgColor rgb="FF2F5FD0"/>
      </patternFill>
    </fill>
    <fill>
      <patternFill patternType="solid">
        <fgColor rgb="FFF8FAFC"/>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CBD5E1"/>
      </left>
      <right style="thin">
        <color rgb="FFCBD5E1"/>
      </right>
      <top style="thin">
        <color rgb="FFCBD5E1"/>
      </top>
      <bottom style="thin">
        <color rgb="FFCBD5E1"/>
      </bottom>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s>
  <cellStyleXfs count="49">
    <xf numFmtId="0" fontId="0" fillId="0" borderId="0"/>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6" borderId="5"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6" applyAlignment="1">
      <alignment vertical="center"/>
    </xf>
    <xf numFmtId="0" fontId="15" fillId="0" borderId="6" applyAlignment="1">
      <alignment vertical="center"/>
    </xf>
    <xf numFmtId="0" fontId="16" fillId="0" borderId="7" applyAlignment="1">
      <alignment vertical="center"/>
    </xf>
    <xf numFmtId="0" fontId="16" fillId="0" borderId="0" applyAlignment="1">
      <alignment vertical="center"/>
    </xf>
    <xf numFmtId="0" fontId="17" fillId="7" borderId="8" applyAlignment="1">
      <alignment vertical="center"/>
    </xf>
    <xf numFmtId="0" fontId="18" fillId="8" borderId="9" applyAlignment="1">
      <alignment vertical="center"/>
    </xf>
    <xf numFmtId="0" fontId="19" fillId="8" borderId="8" applyAlignment="1">
      <alignment vertical="center"/>
    </xf>
    <xf numFmtId="0" fontId="20" fillId="9" borderId="10" applyAlignment="1">
      <alignment vertical="center"/>
    </xf>
    <xf numFmtId="0" fontId="21" fillId="0" borderId="11" applyAlignment="1">
      <alignment vertical="center"/>
    </xf>
    <xf numFmtId="0" fontId="22" fillId="0" borderId="12"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6" fillId="13" borderId="0" applyAlignment="1">
      <alignment vertical="center"/>
    </xf>
    <xf numFmtId="0" fontId="27" fillId="14" borderId="0" applyAlignment="1">
      <alignment vertical="center"/>
    </xf>
    <xf numFmtId="0" fontId="27" fillId="15" borderId="0" applyAlignment="1">
      <alignment vertical="center"/>
    </xf>
    <xf numFmtId="0" fontId="26" fillId="16" borderId="0" applyAlignment="1">
      <alignment vertical="center"/>
    </xf>
    <xf numFmtId="0" fontId="26" fillId="17" borderId="0" applyAlignment="1">
      <alignment vertical="center"/>
    </xf>
    <xf numFmtId="0" fontId="27" fillId="18" borderId="0" applyAlignment="1">
      <alignment vertical="center"/>
    </xf>
    <xf numFmtId="0" fontId="27" fillId="19" borderId="0" applyAlignment="1">
      <alignment vertical="center"/>
    </xf>
    <xf numFmtId="0" fontId="26" fillId="20" borderId="0" applyAlignment="1">
      <alignment vertical="center"/>
    </xf>
    <xf numFmtId="0" fontId="26" fillId="21" borderId="0" applyAlignment="1">
      <alignment vertical="center"/>
    </xf>
    <xf numFmtId="0" fontId="27" fillId="22" borderId="0" applyAlignment="1">
      <alignment vertical="center"/>
    </xf>
    <xf numFmtId="0" fontId="27" fillId="23" borderId="0" applyAlignment="1">
      <alignment vertical="center"/>
    </xf>
    <xf numFmtId="0" fontId="26" fillId="24" borderId="0" applyAlignment="1">
      <alignment vertical="center"/>
    </xf>
    <xf numFmtId="0" fontId="26" fillId="25" borderId="0" applyAlignment="1">
      <alignment vertical="center"/>
    </xf>
    <xf numFmtId="0" fontId="27" fillId="26" borderId="0" applyAlignment="1">
      <alignment vertical="center"/>
    </xf>
    <xf numFmtId="0" fontId="27" fillId="27" borderId="0" applyAlignment="1">
      <alignment vertical="center"/>
    </xf>
    <xf numFmtId="0" fontId="26" fillId="28" borderId="0" applyAlignment="1">
      <alignment vertical="center"/>
    </xf>
    <xf numFmtId="0" fontId="26" fillId="29" borderId="0" applyAlignment="1">
      <alignment vertical="center"/>
    </xf>
    <xf numFmtId="0" fontId="27" fillId="30" borderId="0" applyAlignment="1">
      <alignment vertical="center"/>
    </xf>
    <xf numFmtId="0" fontId="27" fillId="31" borderId="0" applyAlignment="1">
      <alignment vertical="center"/>
    </xf>
    <xf numFmtId="0" fontId="26" fillId="32" borderId="0" applyAlignment="1">
      <alignment vertical="center"/>
    </xf>
    <xf numFmtId="0" fontId="26" fillId="33" borderId="0" applyAlignment="1">
      <alignment vertical="center"/>
    </xf>
    <xf numFmtId="0" fontId="27" fillId="34" borderId="0" applyAlignment="1">
      <alignment vertical="center"/>
    </xf>
    <xf numFmtId="0" fontId="27" fillId="35" borderId="0" applyAlignment="1">
      <alignment vertical="center"/>
    </xf>
    <xf numFmtId="0" fontId="26" fillId="36" borderId="0" applyAlignment="1">
      <alignment vertical="center"/>
    </xf>
  </cellStyleXfs>
  <cellXfs count="4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0" fontId="3" fillId="0" borderId="1" applyAlignment="1" pivotButton="0" quotePrefix="0" xfId="0">
      <alignment vertical="center"/>
    </xf>
    <xf numFmtId="0" fontId="4" fillId="0" borderId="0" applyAlignment="1" pivotButton="0" quotePrefix="0" xfId="0">
      <alignment wrapText="1"/>
    </xf>
    <xf numFmtId="164" fontId="2" fillId="3" borderId="1" applyAlignment="1" pivotButton="0" quotePrefix="0" xfId="0">
      <alignment vertical="center" wrapText="1"/>
    </xf>
    <xf numFmtId="0" fontId="5" fillId="0" borderId="0" pivotButton="0" quotePrefix="0" xfId="0"/>
    <xf numFmtId="0" fontId="2" fillId="0" borderId="2" applyAlignment="1" pivotButton="0" quotePrefix="0" xfId="0">
      <alignment vertical="top" wrapText="1"/>
    </xf>
    <xf numFmtId="0" fontId="2" fillId="3" borderId="3" applyAlignment="1" pivotButton="0" quotePrefix="0" xfId="0">
      <alignment vertical="top" wrapText="1"/>
    </xf>
    <xf numFmtId="0" fontId="2" fillId="0" borderId="3" applyAlignment="1" pivotButton="0" quotePrefix="0" xfId="0">
      <alignment vertical="top" wrapText="1"/>
    </xf>
    <xf numFmtId="0" fontId="1" fillId="0" borderId="4" applyAlignment="1" pivotButton="0" quotePrefix="0" xfId="0">
      <alignment horizontal="center" wrapText="1"/>
    </xf>
    <xf numFmtId="0" fontId="6" fillId="4" borderId="1" applyAlignment="1" pivotButton="0" quotePrefix="0" xfId="0">
      <alignment vertical="center" wrapText="1"/>
    </xf>
    <xf numFmtId="0" fontId="2" fillId="3" borderId="4" applyAlignment="1" pivotButton="0" quotePrefix="0" xfId="0">
      <alignment vertical="top" wrapText="1"/>
    </xf>
    <xf numFmtId="0" fontId="2" fillId="0" borderId="1" applyAlignment="1" pivotButton="0" quotePrefix="0" xfId="0">
      <alignment vertical="center" wrapText="1"/>
    </xf>
    <xf numFmtId="0" fontId="2" fillId="0" borderId="4" applyAlignment="1" pivotButton="0" quotePrefix="0" xfId="0">
      <alignment vertical="top" wrapText="1"/>
    </xf>
    <xf numFmtId="0" fontId="6" fillId="5" borderId="1" applyAlignment="1" pivotButton="0" quotePrefix="0" xfId="0">
      <alignment vertical="center" wrapText="1"/>
    </xf>
    <xf numFmtId="0" fontId="2" fillId="0" borderId="1"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6" fillId="0" borderId="2" applyAlignment="1" pivotButton="0" quotePrefix="0" xfId="0">
      <alignment vertical="top" wrapText="1"/>
    </xf>
    <xf numFmtId="0" fontId="6" fillId="3" borderId="3" applyAlignment="1" pivotButton="0" quotePrefix="0" xfId="0">
      <alignment vertical="top" wrapText="1"/>
    </xf>
    <xf numFmtId="0" fontId="6" fillId="0" borderId="3" applyAlignment="1" pivotButton="0" quotePrefix="0" xfId="0">
      <alignment vertical="top" wrapText="1"/>
    </xf>
    <xf numFmtId="0" fontId="7" fillId="0" borderId="0" pivotButton="0" quotePrefix="0" xfId="0"/>
    <xf numFmtId="0" fontId="2" fillId="3" borderId="1" applyAlignment="1" pivotButton="0" quotePrefix="1" xfId="0">
      <alignment vertical="center" wrapText="1"/>
    </xf>
    <xf numFmtId="164" fontId="2" fillId="3" borderId="1" applyAlignment="1" pivotButton="0" quotePrefix="0" xfId="0">
      <alignment vertical="center" wrapText="1"/>
    </xf>
    <xf numFmtId="0" fontId="28" fillId="0" borderId="0" pivotButton="0" quotePrefix="0" xfId="0"/>
    <xf numFmtId="0" fontId="29" fillId="37" borderId="13" pivotButton="0" quotePrefix="0" xfId="0"/>
    <xf numFmtId="0" fontId="0" fillId="0" borderId="13" applyAlignment="1" pivotButton="0" quotePrefix="0" xfId="0">
      <alignment vertical="top" wrapText="1"/>
    </xf>
    <xf numFmtId="0" fontId="0" fillId="0" borderId="16" pivotButton="0" quotePrefix="0" xfId="0"/>
    <xf numFmtId="0" fontId="0" fillId="0" borderId="17" pivotButton="0" quotePrefix="0" xfId="0"/>
    <xf numFmtId="0" fontId="30" fillId="0" borderId="0" pivotButton="0" quotePrefix="0" xfId="0"/>
    <xf numFmtId="0" fontId="31" fillId="38" borderId="13" applyAlignment="1" pivotButton="0" quotePrefix="0" xfId="0">
      <alignment horizontal="center" vertical="center" wrapText="1"/>
    </xf>
    <xf numFmtId="0" fontId="32" fillId="39" borderId="13" applyAlignment="1" pivotButton="0" quotePrefix="0" xfId="0">
      <alignment horizontal="left" vertical="top" wrapText="1"/>
    </xf>
    <xf numFmtId="0" fontId="32" fillId="39" borderId="13" applyAlignment="1" pivotButton="0" quotePrefix="0" xfId="0">
      <alignment horizontal="center" vertical="top" wrapText="1"/>
    </xf>
    <xf numFmtId="9" fontId="32" fillId="39" borderId="13" applyAlignment="1" pivotButton="0" quotePrefix="0" xfId="0">
      <alignment horizontal="center" vertical="top" wrapText="1"/>
    </xf>
    <xf numFmtId="0" fontId="29" fillId="37" borderId="13" applyAlignment="1" pivotButton="0" quotePrefix="0" xfId="0">
      <alignment horizontal="left" vertical="top" wrapText="1"/>
    </xf>
    <xf numFmtId="0" fontId="29" fillId="37" borderId="13" applyAlignment="1" pivotButton="0" quotePrefix="0" xfId="0">
      <alignment horizontal="center" vertical="top" wrapText="1"/>
    </xf>
    <xf numFmtId="9" fontId="29" fillId="37" borderId="13"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87"/>
  <sheetViews>
    <sheetView showGridLines="0" workbookViewId="0">
      <selection activeCell="A1" sqref="A1"/>
    </sheetView>
  </sheetViews>
  <sheetFormatPr baseColWidth="8" defaultRowHeight="15"/>
  <cols>
    <col width="34" customWidth="1" min="1" max="1"/>
    <col width="62" customWidth="1" min="2" max="2"/>
    <col width="12" customWidth="1" min="3" max="3"/>
    <col width="12" customWidth="1" min="4" max="4"/>
    <col width="22" customWidth="1" min="5" max="5"/>
    <col width="10" customWidth="1" min="6" max="6"/>
  </cols>
  <sheetData>
    <row r="1">
      <c r="A1" s="26" t="inlineStr">
        <is>
          <t>WholeCart – Test Summary</t>
        </is>
      </c>
    </row>
    <row r="3">
      <c r="A3" s="27" t="inlineStr">
        <is>
          <t>Project</t>
        </is>
      </c>
      <c r="B3" s="28" t="inlineStr">
        <is>
          <t>WholeCart B2B marketplace – Phase 1</t>
        </is>
      </c>
      <c r="C3" s="29" t="n"/>
      <c r="D3" s="29" t="n"/>
      <c r="E3" s="30" t="n"/>
    </row>
    <row r="4">
      <c r="A4" s="27" t="inlineStr">
        <is>
          <t>Specification</t>
        </is>
      </c>
      <c r="B4" s="28" t="inlineStr">
        <is>
          <t>Functional design v1.0 (WC-FDD-1.0-641d)</t>
        </is>
      </c>
      <c r="C4" s="29" t="n"/>
      <c r="D4" s="29" t="n"/>
      <c r="E4" s="30" t="n"/>
    </row>
    <row r="5">
      <c r="A5" s="27" t="inlineStr">
        <is>
          <t>Environment</t>
        </is>
      </c>
      <c r="B5" s="28" t="inlineStr">
        <is>
          <t>QA - http://13.200.185.1/c/purushoth-kumar-efaa03 | Chrome, macOS</t>
        </is>
      </c>
      <c r="C5" s="29" t="n"/>
      <c r="D5" s="29" t="n"/>
      <c r="E5" s="30" t="n"/>
    </row>
    <row r="6">
      <c r="A6" s="27" t="inlineStr">
        <is>
          <t>Accounts used</t>
        </is>
      </c>
      <c r="B6" s="28" t="inlineStr">
        <is>
          <t>buyer1 (Spice Route Kitchen), buyer2 (Café Dosa Corner), seller1 (WholeCart Direct), operator</t>
        </is>
      </c>
      <c r="C6" s="29" t="n"/>
      <c r="D6" s="29" t="n"/>
      <c r="E6" s="30" t="n"/>
    </row>
    <row r="7">
      <c r="A7" s="27" t="inlineStr">
        <is>
          <t>Test date</t>
        </is>
      </c>
      <c r="B7" s="28" t="inlineStr">
        <is>
          <t>2026-10-14</t>
        </is>
      </c>
      <c r="C7" s="29" t="n"/>
      <c r="D7" s="29" t="n"/>
      <c r="E7" s="30" t="n"/>
    </row>
    <row r="9">
      <c r="A9" s="31" t="inlineStr">
        <is>
          <t>Overall</t>
        </is>
      </c>
    </row>
    <row r="10">
      <c r="A10" s="32" t="inlineStr">
        <is>
          <t>Item</t>
        </is>
      </c>
      <c r="B10" s="32" t="inlineStr">
        <is>
          <t>Count</t>
        </is>
      </c>
    </row>
    <row r="11">
      <c r="A11" s="33" t="inlineStr">
        <is>
          <t>Test cases</t>
        </is>
      </c>
      <c r="B11" s="34">
        <f>COUNTA(Testcases!$A:$A)-1</f>
        <v/>
      </c>
    </row>
    <row r="12">
      <c r="A12" s="33" t="inlineStr">
        <is>
          <t>Passed</t>
        </is>
      </c>
      <c r="B12" s="34">
        <f>COUNTIF(Testcases!$M:$M,"Pass")</f>
        <v/>
      </c>
    </row>
    <row r="13">
      <c r="A13" s="33" t="inlineStr">
        <is>
          <t>Failed</t>
        </is>
      </c>
      <c r="B13" s="34">
        <f>COUNTIF(Testcases!$M:$M,"Fail")</f>
        <v/>
      </c>
    </row>
    <row r="14">
      <c r="A14" s="33" t="inlineStr">
        <is>
          <t>Pass rate</t>
        </is>
      </c>
      <c r="B14" s="35">
        <f>IF(B11=0,"",B12/B11)</f>
        <v/>
      </c>
    </row>
    <row r="15">
      <c r="A15" s="33" t="inlineStr">
        <is>
          <t>Defects logged</t>
        </is>
      </c>
      <c r="B15" s="34">
        <f>COUNTA(Bugs!$A:$A)-1</f>
        <v/>
      </c>
    </row>
    <row r="16">
      <c r="A16" s="33" t="inlineStr">
        <is>
          <t>Defects open</t>
        </is>
      </c>
      <c r="B16" s="34">
        <f>COUNTIF(Bugs!$O:$O,"Open")</f>
        <v/>
      </c>
    </row>
    <row r="18">
      <c r="A18" s="31" t="inlineStr">
        <is>
          <t>Test execution by module</t>
        </is>
      </c>
    </row>
    <row r="19">
      <c r="A19" s="32" t="inlineStr">
        <is>
          <t>Module</t>
        </is>
      </c>
      <c r="B19" s="32" t="inlineStr">
        <is>
          <t>Total</t>
        </is>
      </c>
      <c r="C19" s="32" t="inlineStr">
        <is>
          <t>Pass</t>
        </is>
      </c>
      <c r="D19" s="32" t="inlineStr">
        <is>
          <t>Fail</t>
        </is>
      </c>
      <c r="E19" s="32" t="inlineStr">
        <is>
          <t>Pass %</t>
        </is>
      </c>
      <c r="F19" s="32" t="inlineStr">
        <is>
          <t>Defects</t>
        </is>
      </c>
    </row>
    <row r="20">
      <c r="A20" s="33" t="inlineStr">
        <is>
          <t>Login &amp; Access</t>
        </is>
      </c>
      <c r="B20" s="34">
        <f>COUNTIF(Testcases!$B:$B,$A20)</f>
        <v/>
      </c>
      <c r="C20" s="34">
        <f>COUNTIFS(Testcases!$B:$B,$A20,Testcases!$M:$M,"Pass")</f>
        <v/>
      </c>
      <c r="D20" s="34">
        <f>COUNTIFS(Testcases!$B:$B,$A20,Testcases!$M:$M,"Fail")</f>
        <v/>
      </c>
      <c r="E20" s="35">
        <f>IF(B20=0,"",C20/B20)</f>
        <v/>
      </c>
      <c r="F20" s="34">
        <f>COUNTIF(Bugs!$B:$B,$A20)</f>
        <v/>
      </c>
    </row>
    <row r="21">
      <c r="A21" s="33" t="inlineStr">
        <is>
          <t>Catalogue &amp; Search</t>
        </is>
      </c>
      <c r="B21" s="34">
        <f>COUNTIF(Testcases!$B:$B,$A21)</f>
        <v/>
      </c>
      <c r="C21" s="34">
        <f>COUNTIFS(Testcases!$B:$B,$A21,Testcases!$M:$M,"Pass")</f>
        <v/>
      </c>
      <c r="D21" s="34">
        <f>COUNTIFS(Testcases!$B:$B,$A21,Testcases!$M:$M,"Fail")</f>
        <v/>
      </c>
      <c r="E21" s="35">
        <f>IF(B21=0,"",C21/B21)</f>
        <v/>
      </c>
      <c r="F21" s="34">
        <f>COUNTIF(Bugs!$B:$B,$A21)</f>
        <v/>
      </c>
    </row>
    <row r="22">
      <c r="A22" s="33" t="inlineStr">
        <is>
          <t>Cart</t>
        </is>
      </c>
      <c r="B22" s="34">
        <f>COUNTIF(Testcases!$B:$B,$A22)</f>
        <v/>
      </c>
      <c r="C22" s="34">
        <f>COUNTIFS(Testcases!$B:$B,$A22,Testcases!$M:$M,"Pass")</f>
        <v/>
      </c>
      <c r="D22" s="34">
        <f>COUNTIFS(Testcases!$B:$B,$A22,Testcases!$M:$M,"Fail")</f>
        <v/>
      </c>
      <c r="E22" s="35">
        <f>IF(B22=0,"",C22/B22)</f>
        <v/>
      </c>
      <c r="F22" s="34">
        <f>COUNTIF(Bugs!$B:$B,$A22)</f>
        <v/>
      </c>
    </row>
    <row r="23">
      <c r="A23" s="33" t="inlineStr">
        <is>
          <t>Checkout</t>
        </is>
      </c>
      <c r="B23" s="34">
        <f>COUNTIF(Testcases!$B:$B,$A23)</f>
        <v/>
      </c>
      <c r="C23" s="34">
        <f>COUNTIFS(Testcases!$B:$B,$A23,Testcases!$M:$M,"Pass")</f>
        <v/>
      </c>
      <c r="D23" s="34">
        <f>COUNTIFS(Testcases!$B:$B,$A23,Testcases!$M:$M,"Fail")</f>
        <v/>
      </c>
      <c r="E23" s="35">
        <f>IF(B23=0,"",C23/B23)</f>
        <v/>
      </c>
      <c r="F23" s="34">
        <f>COUNTIF(Bugs!$B:$B,$A23)</f>
        <v/>
      </c>
    </row>
    <row r="24">
      <c r="A24" s="33" t="inlineStr">
        <is>
          <t>Delivery Slots</t>
        </is>
      </c>
      <c r="B24" s="34">
        <f>COUNTIF(Testcases!$B:$B,$A24)</f>
        <v/>
      </c>
      <c r="C24" s="34">
        <f>COUNTIFS(Testcases!$B:$B,$A24,Testcases!$M:$M,"Pass")</f>
        <v/>
      </c>
      <c r="D24" s="34">
        <f>COUNTIFS(Testcases!$B:$B,$A24,Testcases!$M:$M,"Fail")</f>
        <v/>
      </c>
      <c r="E24" s="35">
        <f>IF(B24=0,"",C24/B24)</f>
        <v/>
      </c>
      <c r="F24" s="34">
        <f>COUNTIF(Bugs!$B:$B,$A24)</f>
        <v/>
      </c>
    </row>
    <row r="25">
      <c r="A25" s="33" t="inlineStr">
        <is>
          <t>Order History</t>
        </is>
      </c>
      <c r="B25" s="34">
        <f>COUNTIF(Testcases!$B:$B,$A25)</f>
        <v/>
      </c>
      <c r="C25" s="34">
        <f>COUNTIFS(Testcases!$B:$B,$A25,Testcases!$M:$M,"Pass")</f>
        <v/>
      </c>
      <c r="D25" s="34">
        <f>COUNTIFS(Testcases!$B:$B,$A25,Testcases!$M:$M,"Fail")</f>
        <v/>
      </c>
      <c r="E25" s="35">
        <f>IF(B25=0,"",C25/B25)</f>
        <v/>
      </c>
      <c r="F25" s="34">
        <f>COUNTIF(Bugs!$B:$B,$A25)</f>
        <v/>
      </c>
    </row>
    <row r="26">
      <c r="A26" s="33" t="inlineStr">
        <is>
          <t>Cancellation</t>
        </is>
      </c>
      <c r="B26" s="34">
        <f>COUNTIF(Testcases!$B:$B,$A26)</f>
        <v/>
      </c>
      <c r="C26" s="34">
        <f>COUNTIFS(Testcases!$B:$B,$A26,Testcases!$M:$M,"Pass")</f>
        <v/>
      </c>
      <c r="D26" s="34">
        <f>COUNTIFS(Testcases!$B:$B,$A26,Testcases!$M:$M,"Fail")</f>
        <v/>
      </c>
      <c r="E26" s="35">
        <f>IF(B26=0,"",C26/B26)</f>
        <v/>
      </c>
      <c r="F26" s="34">
        <f>COUNTIF(Bugs!$B:$B,$A26)</f>
        <v/>
      </c>
    </row>
    <row r="27">
      <c r="A27" s="33" t="inlineStr">
        <is>
          <t>Slot Change</t>
        </is>
      </c>
      <c r="B27" s="34">
        <f>COUNTIF(Testcases!$B:$B,$A27)</f>
        <v/>
      </c>
      <c r="C27" s="34">
        <f>COUNTIFS(Testcases!$B:$B,$A27,Testcases!$M:$M,"Pass")</f>
        <v/>
      </c>
      <c r="D27" s="34">
        <f>COUNTIFS(Testcases!$B:$B,$A27,Testcases!$M:$M,"Fail")</f>
        <v/>
      </c>
      <c r="E27" s="35">
        <f>IF(B27=0,"",C27/B27)</f>
        <v/>
      </c>
      <c r="F27" s="34">
        <f>COUNTIF(Bugs!$B:$B,$A27)</f>
        <v/>
      </c>
    </row>
    <row r="28">
      <c r="A28" s="33" t="inlineStr">
        <is>
          <t>Redelivery</t>
        </is>
      </c>
      <c r="B28" s="34">
        <f>COUNTIF(Testcases!$B:$B,$A28)</f>
        <v/>
      </c>
      <c r="C28" s="34">
        <f>COUNTIFS(Testcases!$B:$B,$A28,Testcases!$M:$M,"Pass")</f>
        <v/>
      </c>
      <c r="D28" s="34">
        <f>COUNTIFS(Testcases!$B:$B,$A28,Testcases!$M:$M,"Fail")</f>
        <v/>
      </c>
      <c r="E28" s="35">
        <f>IF(B28=0,"",C28/B28)</f>
        <v/>
      </c>
      <c r="F28" s="34">
        <f>COUNTIF(Bugs!$B:$B,$A28)</f>
        <v/>
      </c>
    </row>
    <row r="29">
      <c r="A29" s="33" t="inlineStr">
        <is>
          <t>Reorder</t>
        </is>
      </c>
      <c r="B29" s="34">
        <f>COUNTIF(Testcases!$B:$B,$A29)</f>
        <v/>
      </c>
      <c r="C29" s="34">
        <f>COUNTIFS(Testcases!$B:$B,$A29,Testcases!$M:$M,"Pass")</f>
        <v/>
      </c>
      <c r="D29" s="34">
        <f>COUNTIFS(Testcases!$B:$B,$A29,Testcases!$M:$M,"Fail")</f>
        <v/>
      </c>
      <c r="E29" s="35">
        <f>IF(B29=0,"",C29/B29)</f>
        <v/>
      </c>
      <c r="F29" s="34">
        <f>COUNTIF(Bugs!$B:$B,$A29)</f>
        <v/>
      </c>
    </row>
    <row r="30">
      <c r="A30" s="33" t="inlineStr">
        <is>
          <t>Refunds &amp; Exchanges</t>
        </is>
      </c>
      <c r="B30" s="34">
        <f>COUNTIF(Testcases!$B:$B,$A30)</f>
        <v/>
      </c>
      <c r="C30" s="34">
        <f>COUNTIFS(Testcases!$B:$B,$A30,Testcases!$M:$M,"Pass")</f>
        <v/>
      </c>
      <c r="D30" s="34">
        <f>COUNTIFS(Testcases!$B:$B,$A30,Testcases!$M:$M,"Fail")</f>
        <v/>
      </c>
      <c r="E30" s="35">
        <f>IF(B30=0,"",C30/B30)</f>
        <v/>
      </c>
      <c r="F30" s="34">
        <f>COUNTIF(Bugs!$B:$B,$A30)</f>
        <v/>
      </c>
    </row>
    <row r="31">
      <c r="A31" s="33" t="inlineStr">
        <is>
          <t>Invoices</t>
        </is>
      </c>
      <c r="B31" s="34">
        <f>COUNTIF(Testcases!$B:$B,$A31)</f>
        <v/>
      </c>
      <c r="C31" s="34">
        <f>COUNTIFS(Testcases!$B:$B,$A31,Testcases!$M:$M,"Pass")</f>
        <v/>
      </c>
      <c r="D31" s="34">
        <f>COUNTIFS(Testcases!$B:$B,$A31,Testcases!$M:$M,"Fail")</f>
        <v/>
      </c>
      <c r="E31" s="35">
        <f>IF(B31=0,"",C31/B31)</f>
        <v/>
      </c>
      <c r="F31" s="34">
        <f>COUNTIF(Bugs!$B:$B,$A31)</f>
        <v/>
      </c>
    </row>
    <row r="32">
      <c r="A32" s="33" t="inlineStr">
        <is>
          <t>Monthly Statements</t>
        </is>
      </c>
      <c r="B32" s="34">
        <f>COUNTIF(Testcases!$B:$B,$A32)</f>
        <v/>
      </c>
      <c r="C32" s="34">
        <f>COUNTIFS(Testcases!$B:$B,$A32,Testcases!$M:$M,"Pass")</f>
        <v/>
      </c>
      <c r="D32" s="34">
        <f>COUNTIFS(Testcases!$B:$B,$A32,Testcases!$M:$M,"Fail")</f>
        <v/>
      </c>
      <c r="E32" s="35">
        <f>IF(B32=0,"",C32/B32)</f>
        <v/>
      </c>
      <c r="F32" s="34">
        <f>COUNTIF(Bugs!$B:$B,$A32)</f>
        <v/>
      </c>
    </row>
    <row r="33">
      <c r="A33" s="33" t="inlineStr">
        <is>
          <t>Inquiries</t>
        </is>
      </c>
      <c r="B33" s="34">
        <f>COUNTIF(Testcases!$B:$B,$A33)</f>
        <v/>
      </c>
      <c r="C33" s="34">
        <f>COUNTIFS(Testcases!$B:$B,$A33,Testcases!$M:$M,"Pass")</f>
        <v/>
      </c>
      <c r="D33" s="34">
        <f>COUNTIFS(Testcases!$B:$B,$A33,Testcases!$M:$M,"Fail")</f>
        <v/>
      </c>
      <c r="E33" s="35">
        <f>IF(B33=0,"",C33/B33)</f>
        <v/>
      </c>
      <c r="F33" s="34">
        <f>COUNTIF(Bugs!$B:$B,$A33)</f>
        <v/>
      </c>
    </row>
    <row r="34">
      <c r="A34" s="33" t="inlineStr">
        <is>
          <t>Seller - Orders</t>
        </is>
      </c>
      <c r="B34" s="34">
        <f>COUNTIF(Testcases!$B:$B,$A34)</f>
        <v/>
      </c>
      <c r="C34" s="34">
        <f>COUNTIFS(Testcases!$B:$B,$A34,Testcases!$M:$M,"Pass")</f>
        <v/>
      </c>
      <c r="D34" s="34">
        <f>COUNTIFS(Testcases!$B:$B,$A34,Testcases!$M:$M,"Fail")</f>
        <v/>
      </c>
      <c r="E34" s="35">
        <f>IF(B34=0,"",C34/B34)</f>
        <v/>
      </c>
      <c r="F34" s="34">
        <f>COUNTIF(Bugs!$B:$B,$A34)</f>
        <v/>
      </c>
    </row>
    <row r="35">
      <c r="A35" s="33" t="inlineStr">
        <is>
          <t>Seller - Products</t>
        </is>
      </c>
      <c r="B35" s="34">
        <f>COUNTIF(Testcases!$B:$B,$A35)</f>
        <v/>
      </c>
      <c r="C35" s="34">
        <f>COUNTIFS(Testcases!$B:$B,$A35,Testcases!$M:$M,"Pass")</f>
        <v/>
      </c>
      <c r="D35" s="34">
        <f>COUNTIFS(Testcases!$B:$B,$A35,Testcases!$M:$M,"Fail")</f>
        <v/>
      </c>
      <c r="E35" s="35">
        <f>IF(B35=0,"",C35/B35)</f>
        <v/>
      </c>
      <c r="F35" s="34">
        <f>COUNTIF(Bugs!$B:$B,$A35)</f>
        <v/>
      </c>
    </row>
    <row r="36">
      <c r="A36" s="33" t="inlineStr">
        <is>
          <t>Seller - CSV Import</t>
        </is>
      </c>
      <c r="B36" s="34">
        <f>COUNTIF(Testcases!$B:$B,$A36)</f>
        <v/>
      </c>
      <c r="C36" s="34">
        <f>COUNTIFS(Testcases!$B:$B,$A36,Testcases!$M:$M,"Pass")</f>
        <v/>
      </c>
      <c r="D36" s="34">
        <f>COUNTIFS(Testcases!$B:$B,$A36,Testcases!$M:$M,"Fail")</f>
        <v/>
      </c>
      <c r="E36" s="35">
        <f>IF(B36=0,"",C36/B36)</f>
        <v/>
      </c>
      <c r="F36" s="34">
        <f>COUNTIF(Bugs!$B:$B,$A36)</f>
        <v/>
      </c>
    </row>
    <row r="37">
      <c r="A37" s="33" t="inlineStr">
        <is>
          <t>Operator</t>
        </is>
      </c>
      <c r="B37" s="34">
        <f>COUNTIF(Testcases!$B:$B,$A37)</f>
        <v/>
      </c>
      <c r="C37" s="34">
        <f>COUNTIFS(Testcases!$B:$B,$A37,Testcases!$M:$M,"Pass")</f>
        <v/>
      </c>
      <c r="D37" s="34">
        <f>COUNTIFS(Testcases!$B:$B,$A37,Testcases!$M:$M,"Fail")</f>
        <v/>
      </c>
      <c r="E37" s="35">
        <f>IF(B37=0,"",C37/B37)</f>
        <v/>
      </c>
      <c r="F37" s="34">
        <f>COUNTIF(Bugs!$B:$B,$A37)</f>
        <v/>
      </c>
    </row>
    <row r="38">
      <c r="A38" s="36" t="inlineStr">
        <is>
          <t>Total</t>
        </is>
      </c>
      <c r="B38" s="37">
        <f>SUM(B20:B37)</f>
        <v/>
      </c>
      <c r="C38" s="37">
        <f>SUM(C20:C37)</f>
        <v/>
      </c>
      <c r="D38" s="37">
        <f>SUM(D20:D37)</f>
        <v/>
      </c>
      <c r="E38" s="38">
        <f>IF(B38=0,"",C38/B38)</f>
        <v/>
      </c>
      <c r="F38" s="37">
        <f>SUM(F20:F37)</f>
        <v/>
      </c>
    </row>
    <row r="40">
      <c r="A40" s="31" t="inlineStr">
        <is>
          <t>Test cases by user type</t>
        </is>
      </c>
    </row>
    <row r="41">
      <c r="A41" s="32" t="inlineStr">
        <is>
          <t>User type</t>
        </is>
      </c>
      <c r="B41" s="32" t="inlineStr">
        <is>
          <t>Total</t>
        </is>
      </c>
      <c r="C41" s="32" t="inlineStr">
        <is>
          <t>Pass</t>
        </is>
      </c>
      <c r="D41" s="32" t="inlineStr">
        <is>
          <t>Fail</t>
        </is>
      </c>
    </row>
    <row r="42">
      <c r="A42" s="33" t="inlineStr">
        <is>
          <t>Buyer</t>
        </is>
      </c>
      <c r="B42" s="34">
        <f>COUNTIF(Testcases!$C:$C,$A42)</f>
        <v/>
      </c>
      <c r="C42" s="34">
        <f>COUNTIFS(Testcases!$C:$C,$A42,Testcases!$M:$M,"Pass")</f>
        <v/>
      </c>
      <c r="D42" s="34">
        <f>COUNTIFS(Testcases!$C:$C,$A42,Testcases!$M:$M,"Fail")</f>
        <v/>
      </c>
    </row>
    <row r="43">
      <c r="A43" s="33" t="inlineStr">
        <is>
          <t>Buyer, Operator</t>
        </is>
      </c>
      <c r="B43" s="34">
        <f>COUNTIF(Testcases!$C:$C,$A43)</f>
        <v/>
      </c>
      <c r="C43" s="34">
        <f>COUNTIFS(Testcases!$C:$C,$A43,Testcases!$M:$M,"Pass")</f>
        <v/>
      </c>
      <c r="D43" s="34">
        <f>COUNTIFS(Testcases!$C:$C,$A43,Testcases!$M:$M,"Fail")</f>
        <v/>
      </c>
    </row>
    <row r="44">
      <c r="A44" s="33" t="inlineStr">
        <is>
          <t>Buyer, Seller</t>
        </is>
      </c>
      <c r="B44" s="34">
        <f>COUNTIF(Testcases!$C:$C,$A44)</f>
        <v/>
      </c>
      <c r="C44" s="34">
        <f>COUNTIFS(Testcases!$C:$C,$A44,Testcases!$M:$M,"Pass")</f>
        <v/>
      </c>
      <c r="D44" s="34">
        <f>COUNTIFS(Testcases!$C:$C,$A44,Testcases!$M:$M,"Fail")</f>
        <v/>
      </c>
    </row>
    <row r="45">
      <c r="A45" s="33" t="inlineStr">
        <is>
          <t>Seller</t>
        </is>
      </c>
      <c r="B45" s="34">
        <f>COUNTIF(Testcases!$C:$C,$A45)</f>
        <v/>
      </c>
      <c r="C45" s="34">
        <f>COUNTIFS(Testcases!$C:$C,$A45,Testcases!$M:$M,"Pass")</f>
        <v/>
      </c>
      <c r="D45" s="34">
        <f>COUNTIFS(Testcases!$C:$C,$A45,Testcases!$M:$M,"Fail")</f>
        <v/>
      </c>
    </row>
    <row r="46">
      <c r="A46" s="33" t="inlineStr">
        <is>
          <t>Operator</t>
        </is>
      </c>
      <c r="B46" s="34">
        <f>COUNTIF(Testcases!$C:$C,$A46)</f>
        <v/>
      </c>
      <c r="C46" s="34">
        <f>COUNTIFS(Testcases!$C:$C,$A46,Testcases!$M:$M,"Pass")</f>
        <v/>
      </c>
      <c r="D46" s="34">
        <f>COUNTIFS(Testcases!$C:$C,$A46,Testcases!$M:$M,"Fail")</f>
        <v/>
      </c>
    </row>
    <row r="48">
      <c r="A48" s="31" t="inlineStr">
        <is>
          <t>Defects by severity and priority</t>
        </is>
      </c>
    </row>
    <row r="49">
      <c r="A49" s="32" t="inlineStr">
        <is>
          <t>Severity</t>
        </is>
      </c>
      <c r="B49" s="32" t="inlineStr">
        <is>
          <t>High</t>
        </is>
      </c>
      <c r="C49" s="32" t="inlineStr">
        <is>
          <t>Medium</t>
        </is>
      </c>
      <c r="D49" s="32" t="inlineStr">
        <is>
          <t>Low</t>
        </is>
      </c>
      <c r="E49" s="32" t="inlineStr">
        <is>
          <t>Total</t>
        </is>
      </c>
    </row>
    <row r="50">
      <c r="A50" s="33" t="inlineStr">
        <is>
          <t>Critical</t>
        </is>
      </c>
      <c r="B50" s="34">
        <f>COUNTIFS(Bugs!$J:$J,$A50,Bugs!$K:$K,"High")</f>
        <v/>
      </c>
      <c r="C50" s="34">
        <f>COUNTIFS(Bugs!$J:$J,$A50,Bugs!$K:$K,"Medium")</f>
        <v/>
      </c>
      <c r="D50" s="34">
        <f>COUNTIFS(Bugs!$J:$J,$A50,Bugs!$K:$K,"Low")</f>
        <v/>
      </c>
      <c r="E50" s="34">
        <f>COUNTIF(Bugs!$J:$J,$A50)</f>
        <v/>
      </c>
    </row>
    <row r="51">
      <c r="A51" s="33" t="inlineStr">
        <is>
          <t>Major</t>
        </is>
      </c>
      <c r="B51" s="34">
        <f>COUNTIFS(Bugs!$J:$J,$A51,Bugs!$K:$K,"High")</f>
        <v/>
      </c>
      <c r="C51" s="34">
        <f>COUNTIFS(Bugs!$J:$J,$A51,Bugs!$K:$K,"Medium")</f>
        <v/>
      </c>
      <c r="D51" s="34">
        <f>COUNTIFS(Bugs!$J:$J,$A51,Bugs!$K:$K,"Low")</f>
        <v/>
      </c>
      <c r="E51" s="34">
        <f>COUNTIF(Bugs!$J:$J,$A51)</f>
        <v/>
      </c>
    </row>
    <row r="52">
      <c r="A52" s="33" t="inlineStr">
        <is>
          <t>Minor</t>
        </is>
      </c>
      <c r="B52" s="34">
        <f>COUNTIFS(Bugs!$J:$J,$A52,Bugs!$K:$K,"High")</f>
        <v/>
      </c>
      <c r="C52" s="34">
        <f>COUNTIFS(Bugs!$J:$J,$A52,Bugs!$K:$K,"Medium")</f>
        <v/>
      </c>
      <c r="D52" s="34">
        <f>COUNTIFS(Bugs!$J:$J,$A52,Bugs!$K:$K,"Low")</f>
        <v/>
      </c>
      <c r="E52" s="34">
        <f>COUNTIF(Bugs!$J:$J,$A52)</f>
        <v/>
      </c>
    </row>
    <row r="53">
      <c r="A53" s="33" t="inlineStr">
        <is>
          <t>Trivial</t>
        </is>
      </c>
      <c r="B53" s="34">
        <f>COUNTIFS(Bugs!$J:$J,$A53,Bugs!$K:$K,"High")</f>
        <v/>
      </c>
      <c r="C53" s="34">
        <f>COUNTIFS(Bugs!$J:$J,$A53,Bugs!$K:$K,"Medium")</f>
        <v/>
      </c>
      <c r="D53" s="34">
        <f>COUNTIFS(Bugs!$J:$J,$A53,Bugs!$K:$K,"Low")</f>
        <v/>
      </c>
      <c r="E53" s="34">
        <f>COUNTIF(Bugs!$J:$J,$A53)</f>
        <v/>
      </c>
    </row>
    <row r="54">
      <c r="A54" s="36" t="inlineStr">
        <is>
          <t>Total</t>
        </is>
      </c>
      <c r="B54" s="37">
        <f>SUM(B50:B53)</f>
        <v/>
      </c>
      <c r="C54" s="37">
        <f>SUM(C50:C53)</f>
        <v/>
      </c>
      <c r="D54" s="37">
        <f>SUM(D50:D53)</f>
        <v/>
      </c>
      <c r="E54" s="37">
        <f>SUM(E50:E53)</f>
        <v/>
      </c>
    </row>
    <row r="56">
      <c r="A56" s="31" t="inlineStr">
        <is>
          <t>Defects by module</t>
        </is>
      </c>
    </row>
    <row r="57">
      <c r="A57" s="32" t="inlineStr">
        <is>
          <t>Module</t>
        </is>
      </c>
      <c r="B57" s="32" t="inlineStr">
        <is>
          <t>Defects</t>
        </is>
      </c>
    </row>
    <row r="58">
      <c r="A58" s="33" t="inlineStr">
        <is>
          <t>Catalogue &amp; Search</t>
        </is>
      </c>
      <c r="B58" s="34">
        <f>COUNTIF(Bugs!$B:$B,$A58)</f>
        <v/>
      </c>
    </row>
    <row r="59">
      <c r="A59" s="33" t="inlineStr">
        <is>
          <t>Cart</t>
        </is>
      </c>
      <c r="B59" s="34">
        <f>COUNTIF(Bugs!$B:$B,$A59)</f>
        <v/>
      </c>
    </row>
    <row r="60">
      <c r="A60" s="33" t="inlineStr">
        <is>
          <t>Checkout</t>
        </is>
      </c>
      <c r="B60" s="34">
        <f>COUNTIF(Bugs!$B:$B,$A60)</f>
        <v/>
      </c>
    </row>
    <row r="61">
      <c r="A61" s="33" t="inlineStr">
        <is>
          <t>Order History</t>
        </is>
      </c>
      <c r="B61" s="34">
        <f>COUNTIF(Bugs!$B:$B,$A61)</f>
        <v/>
      </c>
    </row>
    <row r="62">
      <c r="A62" s="33" t="inlineStr">
        <is>
          <t>Cancellation</t>
        </is>
      </c>
      <c r="B62" s="34">
        <f>COUNTIF(Bugs!$B:$B,$A62)</f>
        <v/>
      </c>
    </row>
    <row r="63">
      <c r="A63" s="33" t="inlineStr">
        <is>
          <t>Slot Change</t>
        </is>
      </c>
      <c r="B63" s="34">
        <f>COUNTIF(Bugs!$B:$B,$A63)</f>
        <v/>
      </c>
    </row>
    <row r="64">
      <c r="A64" s="33" t="inlineStr">
        <is>
          <t>Reorder</t>
        </is>
      </c>
      <c r="B64" s="34">
        <f>COUNTIF(Bugs!$B:$B,$A64)</f>
        <v/>
      </c>
    </row>
    <row r="65">
      <c r="A65" s="33" t="inlineStr">
        <is>
          <t>Invoices</t>
        </is>
      </c>
      <c r="B65" s="34">
        <f>COUNTIF(Bugs!$B:$B,$A65)</f>
        <v/>
      </c>
    </row>
    <row r="66">
      <c r="A66" s="33" t="inlineStr">
        <is>
          <t>Monthly Statements</t>
        </is>
      </c>
      <c r="B66" s="34">
        <f>COUNTIF(Bugs!$B:$B,$A66)</f>
        <v/>
      </c>
    </row>
    <row r="67">
      <c r="A67" s="33" t="inlineStr">
        <is>
          <t>Inquiries</t>
        </is>
      </c>
      <c r="B67" s="34">
        <f>COUNTIF(Bugs!$B:$B,$A67)</f>
        <v/>
      </c>
    </row>
    <row r="68">
      <c r="A68" s="33" t="inlineStr">
        <is>
          <t>Seller - Orders</t>
        </is>
      </c>
      <c r="B68" s="34">
        <f>COUNTIF(Bugs!$B:$B,$A68)</f>
        <v/>
      </c>
    </row>
    <row r="69">
      <c r="A69" s="33" t="inlineStr">
        <is>
          <t>Seller - Products</t>
        </is>
      </c>
      <c r="B69" s="34">
        <f>COUNTIF(Bugs!$B:$B,$A69)</f>
        <v/>
      </c>
    </row>
    <row r="70">
      <c r="A70" s="33" t="inlineStr">
        <is>
          <t>Seller - CSV Import</t>
        </is>
      </c>
      <c r="B70" s="34">
        <f>COUNTIF(Bugs!$B:$B,$A70)</f>
        <v/>
      </c>
    </row>
    <row r="71">
      <c r="A71" s="33" t="inlineStr">
        <is>
          <t>Operator</t>
        </is>
      </c>
      <c r="B71" s="34">
        <f>COUNTIF(Bugs!$B:$B,$A71)</f>
        <v/>
      </c>
    </row>
    <row r="73">
      <c r="A73" s="31" t="inlineStr">
        <is>
          <t>Key defects (Critical and Major)</t>
        </is>
      </c>
    </row>
    <row r="74">
      <c r="A74" s="32" t="inlineStr">
        <is>
          <t>Defect ID</t>
        </is>
      </c>
      <c r="B74" s="32" t="inlineStr">
        <is>
          <t>Summary</t>
        </is>
      </c>
      <c r="C74" s="32" t="inlineStr">
        <is>
          <t>Severity</t>
        </is>
      </c>
      <c r="D74" s="32" t="inlineStr">
        <is>
          <t>Priority</t>
        </is>
      </c>
      <c r="E74" s="32" t="inlineStr">
        <is>
          <t>Module</t>
        </is>
      </c>
    </row>
    <row r="75">
      <c r="A75" s="33" t="inlineStr">
        <is>
          <t>DEF-001</t>
        </is>
      </c>
      <c r="B75" s="33" t="inlineStr">
        <is>
          <t>Monthly statement includes a cancelled order and charges it in Amount due</t>
        </is>
      </c>
      <c r="C75" s="34" t="inlineStr">
        <is>
          <t>Critical</t>
        </is>
      </c>
      <c r="D75" s="34" t="inlineStr">
        <is>
          <t>High</t>
        </is>
      </c>
      <c r="E75" s="34" t="inlineStr">
        <is>
          <t>Monthly Statements</t>
        </is>
      </c>
    </row>
    <row r="76">
      <c r="A76" s="33" t="inlineStr">
        <is>
          <t>DEF-009</t>
        </is>
      </c>
      <c r="B76" s="33" t="inlineStr">
        <is>
          <t>Seller cancellation is not shown to the buyer (BR-12)</t>
        </is>
      </c>
      <c r="C76" s="34" t="inlineStr">
        <is>
          <t>Critical</t>
        </is>
      </c>
      <c r="D76" s="34" t="inlineStr">
        <is>
          <t>High</t>
        </is>
      </c>
      <c r="E76" s="34" t="inlineStr">
        <is>
          <t>Cancellation</t>
        </is>
      </c>
    </row>
    <row r="77">
      <c r="A77" s="33" t="inlineStr">
        <is>
          <t>DEF-006</t>
        </is>
      </c>
      <c r="B77" s="33" t="inlineStr">
        <is>
          <t>Category filter is ignored when combined with search text</t>
        </is>
      </c>
      <c r="C77" s="34" t="inlineStr">
        <is>
          <t>Major</t>
        </is>
      </c>
      <c r="D77" s="34" t="inlineStr">
        <is>
          <t>High</t>
        </is>
      </c>
      <c r="E77" s="34" t="inlineStr">
        <is>
          <t>Catalogue &amp; Search</t>
        </is>
      </c>
    </row>
    <row r="78">
      <c r="A78" s="33" t="inlineStr">
        <is>
          <t>DEF-010</t>
        </is>
      </c>
      <c r="B78" s="33" t="inlineStr">
        <is>
          <t>Minimum order per seller not enforced in a multi-seller checkout (BR-04)</t>
        </is>
      </c>
      <c r="C78" s="34" t="inlineStr">
        <is>
          <t>Major</t>
        </is>
      </c>
      <c r="D78" s="34" t="inlineStr">
        <is>
          <t>High</t>
        </is>
      </c>
      <c r="E78" s="34" t="inlineStr">
        <is>
          <t>Checkout</t>
        </is>
      </c>
    </row>
    <row r="79">
      <c r="A79" s="33" t="inlineStr">
        <is>
          <t>DEF-011</t>
        </is>
      </c>
      <c r="B79" s="33" t="inlineStr">
        <is>
          <t>Default 'Minimum order per seller' is ₹2,000; design says ₹1,500 (BR-04)</t>
        </is>
      </c>
      <c r="C79" s="34" t="inlineStr">
        <is>
          <t>Major</t>
        </is>
      </c>
      <c r="D79" s="34" t="inlineStr">
        <is>
          <t>High</t>
        </is>
      </c>
      <c r="E79" s="34" t="inlineStr">
        <is>
          <t>Checkout</t>
        </is>
      </c>
    </row>
    <row r="80">
      <c r="A80" s="33" t="inlineStr">
        <is>
          <t>DEF-014</t>
        </is>
      </c>
      <c r="B80" s="33" t="inlineStr">
        <is>
          <t>Message seller button does nothing</t>
        </is>
      </c>
      <c r="C80" s="34" t="inlineStr">
        <is>
          <t>Major</t>
        </is>
      </c>
      <c r="D80" s="34" t="inlineStr">
        <is>
          <t>High</t>
        </is>
      </c>
      <c r="E80" s="34" t="inlineStr">
        <is>
          <t>Inquiries</t>
        </is>
      </c>
    </row>
    <row r="81">
      <c r="A81" s="33" t="inlineStr">
        <is>
          <t>DEF-015</t>
        </is>
      </c>
      <c r="B81" s="33" t="inlineStr">
        <is>
          <t>Reorder drops a line from the order without telling the buyer</t>
        </is>
      </c>
      <c r="C81" s="34" t="inlineStr">
        <is>
          <t>Major</t>
        </is>
      </c>
      <c r="D81" s="34" t="inlineStr">
        <is>
          <t>High</t>
        </is>
      </c>
      <c r="E81" s="34" t="inlineStr">
        <is>
          <t>Reorder</t>
        </is>
      </c>
    </row>
    <row r="82">
      <c r="A82" s="33" t="inlineStr">
        <is>
          <t>DEF-016</t>
        </is>
      </c>
      <c r="B82" s="33" t="inlineStr">
        <is>
          <t>Out-of-stock products are displayed in the catalogue and search results</t>
        </is>
      </c>
      <c r="C82" s="34" t="inlineStr">
        <is>
          <t>Major</t>
        </is>
      </c>
      <c r="D82" s="34" t="inlineStr">
        <is>
          <t>High</t>
        </is>
      </c>
      <c r="E82" s="34" t="inlineStr">
        <is>
          <t>Catalogue &amp; Search</t>
        </is>
      </c>
    </row>
    <row r="83">
      <c r="A83" s="33" t="inlineStr">
        <is>
          <t>DEF-018</t>
        </is>
      </c>
      <c r="B83" s="33" t="inlineStr">
        <is>
          <t>Duplicate orders created and stock deducted twice on repeated order submission</t>
        </is>
      </c>
      <c r="C83" s="34" t="inlineStr">
        <is>
          <t>Major</t>
        </is>
      </c>
      <c r="D83" s="34" t="inlineStr">
        <is>
          <t>High</t>
        </is>
      </c>
      <c r="E83" s="34" t="inlineStr">
        <is>
          <t>Checkout</t>
        </is>
      </c>
    </row>
    <row r="84">
      <c r="A84" s="33" t="inlineStr">
        <is>
          <t>DEF-019</t>
        </is>
      </c>
      <c r="B84" s="33" t="inlineStr">
        <is>
          <t>Updated same-day cut-off time in operator settings is not reflected at checkout</t>
        </is>
      </c>
      <c r="C84" s="34" t="inlineStr">
        <is>
          <t>Major</t>
        </is>
      </c>
      <c r="D84" s="34" t="inlineStr">
        <is>
          <t>High</t>
        </is>
      </c>
      <c r="E84" s="34" t="inlineStr">
        <is>
          <t>Operator</t>
        </is>
      </c>
    </row>
    <row r="85">
      <c r="A85" s="33" t="inlineStr">
        <is>
          <t>DEF-020</t>
        </is>
      </c>
      <c r="B85" s="33" t="inlineStr">
        <is>
          <t>CSV import accepts negative stock and blank category without reporting errors</t>
        </is>
      </c>
      <c r="C85" s="34" t="inlineStr">
        <is>
          <t>Major</t>
        </is>
      </c>
      <c r="D85" s="34" t="inlineStr">
        <is>
          <t>High</t>
        </is>
      </c>
      <c r="E85" s="34" t="inlineStr">
        <is>
          <t>Seller - CSV Import</t>
        </is>
      </c>
    </row>
    <row r="86">
      <c r="A86" s="33" t="inlineStr">
        <is>
          <t>DEF-021</t>
        </is>
      </c>
      <c r="B86" s="33" t="inlineStr">
        <is>
          <t>Logistics export shows slot end before slot start</t>
        </is>
      </c>
      <c r="C86" s="34" t="inlineStr">
        <is>
          <t>Major</t>
        </is>
      </c>
      <c r="D86" s="34" t="inlineStr">
        <is>
          <t>High</t>
        </is>
      </c>
      <c r="E86" s="34" t="inlineStr">
        <is>
          <t>Operator</t>
        </is>
      </c>
    </row>
    <row r="87">
      <c r="A87" s="33" t="inlineStr">
        <is>
          <t>DEF-022</t>
        </is>
      </c>
      <c r="B87" s="33" t="inlineStr">
        <is>
          <t>Invoice is missing the delivery fee line and seller GSTIN</t>
        </is>
      </c>
      <c r="C87" s="34" t="inlineStr">
        <is>
          <t>Major</t>
        </is>
      </c>
      <c r="D87" s="34" t="inlineStr">
        <is>
          <t>High</t>
        </is>
      </c>
      <c r="E87" s="34" t="inlineStr">
        <is>
          <t>Invoices</t>
        </is>
      </c>
    </row>
  </sheetData>
  <mergeCells count="5">
    <mergeCell ref="B4:E4"/>
    <mergeCell ref="B6:E6"/>
    <mergeCell ref="B7:E7"/>
    <mergeCell ref="B3:E3"/>
    <mergeCell ref="B5:E5"/>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V993"/>
  <sheetViews>
    <sheetView workbookViewId="0">
      <pane ySplit="1" topLeftCell="A2" activePane="bottomLeft" state="frozen"/>
      <selection activeCell="A1" sqref="A1"/>
      <selection pane="bottomLeft" activeCell="M14" sqref="M14"/>
    </sheetView>
  </sheetViews>
  <sheetFormatPr baseColWidth="8" defaultColWidth="12.6339285714286" defaultRowHeight="15.75" customHeight="1"/>
  <cols>
    <col width="16.75" customWidth="1" min="2" max="2"/>
    <col width="46.5" customWidth="1" min="4" max="4"/>
    <col width="35.25" customWidth="1" min="5" max="5"/>
    <col width="34.5" customWidth="1" min="7" max="7"/>
    <col width="41.75" customWidth="1" min="8" max="8"/>
    <col width="46.3839285714286" customWidth="1" min="9" max="9"/>
    <col width="59.1339285714286" customWidth="1" min="10" max="10"/>
    <col width="49.5" customWidth="1" min="11" max="11"/>
    <col width="40.3839285714286" customWidth="1" min="12" max="12"/>
    <col width="13" customWidth="1" min="13" max="13"/>
    <col width="13" customWidth="1" min="14" max="14"/>
    <col width="16" customWidth="1" min="15" max="15"/>
  </cols>
  <sheetData>
    <row r="1">
      <c r="A1" s="1" t="inlineStr">
        <is>
          <t>Test Case ID</t>
        </is>
      </c>
      <c r="B1" s="1" t="inlineStr">
        <is>
          <t>Module</t>
        </is>
      </c>
      <c r="C1" s="1" t="inlineStr">
        <is>
          <t>User Type</t>
        </is>
      </c>
      <c r="D1" s="1" t="inlineStr">
        <is>
          <t>Test Case Title</t>
        </is>
      </c>
      <c r="E1" s="1" t="inlineStr">
        <is>
          <t>Test Case Description</t>
        </is>
      </c>
      <c r="F1" s="1" t="inlineStr">
        <is>
          <t>Test Case Type</t>
        </is>
      </c>
      <c r="G1" s="1" t="inlineStr">
        <is>
          <t>Preconditions</t>
        </is>
      </c>
      <c r="H1" s="1" t="inlineStr">
        <is>
          <t>Test Steps</t>
        </is>
      </c>
      <c r="I1" s="1" t="inlineStr">
        <is>
          <t>Test Data</t>
        </is>
      </c>
      <c r="J1" s="1" t="inlineStr">
        <is>
          <t>Expected Result</t>
        </is>
      </c>
      <c r="K1" s="1" t="inlineStr">
        <is>
          <t>Actual Result</t>
        </is>
      </c>
      <c r="L1" s="1" t="inlineStr">
        <is>
          <t>Application Environment</t>
        </is>
      </c>
      <c r="M1" s="1" t="inlineStr">
        <is>
          <t>Status</t>
        </is>
      </c>
      <c r="N1" s="1" t="inlineStr">
        <is>
          <t>Priority</t>
        </is>
      </c>
      <c r="O1" s="1" t="inlineStr">
        <is>
          <t>Bug ID</t>
        </is>
      </c>
      <c r="P1" s="11" t="n"/>
      <c r="Q1" s="7" t="n"/>
      <c r="R1" s="7" t="n"/>
      <c r="S1" s="7" t="n"/>
      <c r="T1" s="7" t="n"/>
      <c r="U1" s="7" t="n"/>
      <c r="V1" s="7" t="n"/>
    </row>
    <row r="2">
      <c r="A2" s="2" t="inlineStr">
        <is>
          <t>TC-01-01</t>
        </is>
      </c>
      <c r="B2" s="2" t="inlineStr">
        <is>
          <t>Login &amp; Access</t>
        </is>
      </c>
      <c r="C2" s="2" t="inlineStr">
        <is>
          <t>Buyer</t>
        </is>
      </c>
      <c r="D2" s="2" t="inlineStr">
        <is>
          <t>Buyer logs in with valid credentials</t>
        </is>
      </c>
      <c r="E2" s="2" t="inlineStr">
        <is>
          <t>Verify buyer login with valid credentials.</t>
        </is>
      </c>
      <c r="F2" s="2" t="inlineStr">
        <is>
          <t>Positive</t>
        </is>
      </c>
      <c r="G2" s="2" t="inlineStr">
        <is>
          <t>App URL reachable</t>
        </is>
      </c>
      <c r="H2" s="2" t="inlineStr">
        <is>
          <t>1. Open /login
2. Enter username and password
3. Click Log in</t>
        </is>
      </c>
      <c r="I2" s="2" t="inlineStr">
        <is>
          <t>buyer1 / Test@123</t>
        </is>
      </c>
      <c r="J2" s="2" t="inlineStr">
        <is>
          <t>Buyer should be logged in and taken to the Catalogue. Header should show 'Spice Route Kitchen' and a Log out link.</t>
        </is>
      </c>
      <c r="K2" s="2" t="inlineStr">
        <is>
          <t>Login works. Buyer header shows 'Spice Route Kitchen'; seller login shows 'WholeCart Direct'.</t>
        </is>
      </c>
      <c r="L2" s="2" t="inlineStr">
        <is>
          <t>QA - http://13.200.185.1/c/purushoth-kumar-efaa03 | Chrome, macOS</t>
        </is>
      </c>
      <c r="M2" s="12" t="inlineStr">
        <is>
          <t>Pass</t>
        </is>
      </c>
      <c r="N2" s="12" t="inlineStr">
        <is>
          <t>High</t>
        </is>
      </c>
      <c r="O2" s="2" t="n"/>
      <c r="P2" s="13" t="n"/>
    </row>
    <row r="3">
      <c r="A3" s="2" t="inlineStr">
        <is>
          <t>TC-01-02</t>
        </is>
      </c>
      <c r="B3" s="2" t="inlineStr">
        <is>
          <t>Login &amp; Access</t>
        </is>
      </c>
      <c r="C3" s="2" t="inlineStr">
        <is>
          <t>Buyer</t>
        </is>
      </c>
      <c r="D3" s="2" t="inlineStr">
        <is>
          <t>Buyer cannot open another buyer's order (BR-21)</t>
        </is>
      </c>
      <c r="E3" s="2" t="inlineStr">
        <is>
          <t>Verify a buyer cannot see another buyer's orders.</t>
        </is>
      </c>
      <c r="F3" s="2" t="inlineStr">
        <is>
          <t>Negative</t>
        </is>
      </c>
      <c r="G3" s="2" t="inlineStr">
        <is>
          <t>buyer2 has an order; note its id (e.g. /orders/7)</t>
        </is>
      </c>
      <c r="H3" s="2" t="inlineStr">
        <is>
          <t>1. Log in as buyer1
2. Open buyer2's order URL /orders/{id}
3. Try the same for /invoices/{id}</t>
        </is>
      </c>
      <c r="I3" s="2" t="inlineStr">
        <is>
          <t>buyer1, buyer2 order id</t>
        </is>
      </c>
      <c r="J3" s="2" t="inlineStr">
        <is>
          <t>Access should be denied (403/404). No order, invoice or statement details of the other buyer should be shown.</t>
        </is>
      </c>
      <c r="K3" s="2" t="inlineStr">
        <is>
          <t>Access was denied. No order, invoice or statement details of the other buyer were shown.</t>
        </is>
      </c>
      <c r="L3" s="2" t="inlineStr">
        <is>
          <t>QA - http://13.200.185.1/c/purushoth-kumar-efaa03 | Chrome, macOS</t>
        </is>
      </c>
      <c r="M3" s="12" t="inlineStr">
        <is>
          <t>Pass</t>
        </is>
      </c>
      <c r="N3" s="12" t="inlineStr">
        <is>
          <t>High</t>
        </is>
      </c>
      <c r="O3" s="2" t="n"/>
      <c r="P3" s="15" t="n"/>
    </row>
    <row r="4">
      <c r="A4" s="2" t="inlineStr">
        <is>
          <t>TC-02-01</t>
        </is>
      </c>
      <c r="B4" s="2" t="inlineStr">
        <is>
          <t>Catalogue &amp; Search</t>
        </is>
      </c>
      <c r="C4" s="2" t="inlineStr">
        <is>
          <t>Buyer</t>
        </is>
      </c>
      <c r="D4" s="2" t="inlineStr">
        <is>
          <t>Out-of-stock products never shown (BR-02)</t>
        </is>
      </c>
      <c r="E4" s="2" t="inlineStr">
        <is>
          <t>Verify out-of-stock products are hidden from the catalogue.</t>
        </is>
      </c>
      <c r="F4" s="2" t="inlineStr">
        <is>
          <t>Negative</t>
        </is>
      </c>
      <c r="G4" s="2" t="inlineStr">
        <is>
          <t>Logged in as buyer1; seller1 (WholeCart Direct) products SKU-0030 and SKU-0047 have stock 0</t>
        </is>
      </c>
      <c r="H4" s="2" t="inlineStr">
        <is>
          <t>1. As seller1, open Products and note SKU-0030 and SKU-0047 have stock 0
2. As buyer1, open Catalogue
3. Search SKU-0030, then SKU-0047
4. Open the product page</t>
        </is>
      </c>
      <c r="I4" s="2" t="inlineStr">
        <is>
          <t>SKU-0030 Spice Toor Dal (stock 0), SKU-0047 Prime Moong Dal (stock 0)</t>
        </is>
      </c>
      <c r="J4" s="2" t="inlineStr">
        <is>
          <t>The product should not appear in the catalogue list, in search results or under its category. The product count should not include it.</t>
        </is>
      </c>
      <c r="K4" s="2" t="inlineStr">
        <is>
          <t>SKU-0030 Spice Toor Dal and SKU-0047 Prime Moong Dal have 0 stock but still appear in catalogue search. The product page shows 'In stock: 0 pieces' with Add to cart enabled.</t>
        </is>
      </c>
      <c r="L4" s="2" t="inlineStr">
        <is>
          <t>QA - http://13.200.185.1/c/purushoth-kumar-efaa03 | Chrome, macOS</t>
        </is>
      </c>
      <c r="M4" s="16" t="inlineStr">
        <is>
          <t>Fail</t>
        </is>
      </c>
      <c r="N4" s="16" t="inlineStr">
        <is>
          <t>High</t>
        </is>
      </c>
      <c r="O4" s="2" t="inlineStr">
        <is>
          <t>DEF-016</t>
        </is>
      </c>
      <c r="P4" s="13" t="n"/>
    </row>
    <row r="5">
      <c r="A5" s="2" t="inlineStr">
        <is>
          <t>TC-02-02</t>
        </is>
      </c>
      <c r="B5" s="2" t="inlineStr">
        <is>
          <t>Catalogue &amp; Search</t>
        </is>
      </c>
      <c r="C5" s="2" t="inlineStr">
        <is>
          <t>Buyer</t>
        </is>
      </c>
      <c r="D5" s="2" t="inlineStr">
        <is>
          <t>Category filter combined with search text</t>
        </is>
      </c>
      <c r="E5" s="2" t="inlineStr">
        <is>
          <t>Verify search text and category filter work together.</t>
        </is>
      </c>
      <c r="F5" s="2" t="inlineStr">
        <is>
          <t>Positive</t>
        </is>
      </c>
      <c r="G5" s="2" t="inlineStr">
        <is>
          <t>Logged in as buyer1 (Spice Route Kitchen) / Test@123</t>
        </is>
      </c>
      <c r="H5" s="2" t="inlineStr">
        <is>
          <t>1. Type search text
2. Select category
3. Click Search</t>
        </is>
      </c>
      <c r="I5" s="2" t="inlineStr">
        <is>
          <t>Chef + Oils</t>
        </is>
      </c>
      <c r="J5" s="2" t="inlineStr">
        <is>
          <t>Only products matching both the search text and the selected category should be shown (e.g. Chef's Coconut Oil, Chef's Mustard Oil). The product count should match the list.</t>
        </is>
      </c>
      <c r="K5" s="2" t="inlineStr">
        <is>
          <t>Search 'Chef' with category 'Oils' still showed 28 products from all categories. Needs re-check.</t>
        </is>
      </c>
      <c r="L5" s="2" t="inlineStr">
        <is>
          <t>QA - http://13.200.185.1/c/purushoth-kumar-efaa03 | Chrome, macOS</t>
        </is>
      </c>
      <c r="M5" s="16" t="inlineStr">
        <is>
          <t>Fail</t>
        </is>
      </c>
      <c r="N5" s="16" t="inlineStr">
        <is>
          <t>High</t>
        </is>
      </c>
      <c r="O5" s="2" t="inlineStr">
        <is>
          <t>DEF-006</t>
        </is>
      </c>
      <c r="P5" s="15" t="n"/>
    </row>
    <row r="6">
      <c r="A6" s="2" t="inlineStr">
        <is>
          <t>TC-03-01</t>
        </is>
      </c>
      <c r="B6" s="2" t="inlineStr">
        <is>
          <t>Cart</t>
        </is>
      </c>
      <c r="C6" s="2" t="inlineStr">
        <is>
          <t>Buyer</t>
        </is>
      </c>
      <c r="D6" s="2" t="inlineStr">
        <is>
          <t>Quantity control is a dropdown 1-20 (5.1)</t>
        </is>
      </c>
      <c r="E6" s="2" t="inlineStr">
        <is>
          <t>Verify the cart quantity control is a 1-20 dropdown.</t>
        </is>
      </c>
      <c r="F6" s="2" t="inlineStr">
        <is>
          <t>Positive</t>
        </is>
      </c>
      <c r="G6" s="2" t="inlineStr">
        <is>
          <t>Cart has one line</t>
        </is>
      </c>
      <c r="H6" s="2" t="inlineStr">
        <is>
          <t>1. Open Cart
2. Inspect Quantity control</t>
        </is>
      </c>
      <c r="I6" s="2" t="inlineStr">
        <is>
          <t>-</t>
        </is>
      </c>
      <c r="J6" s="2" t="inlineStr">
        <is>
          <t>Quantity should be a dropdown with values 1 to 20. Changing it should update the line total and net total immediately.</t>
        </is>
      </c>
      <c r="K6" s="2" t="inlineStr">
        <is>
          <t>Quantity is a text box with an Update button, not a dropdown.</t>
        </is>
      </c>
      <c r="L6" s="2" t="inlineStr">
        <is>
          <t>QA - http://13.200.185.1/c/purushoth-kumar-efaa03 | Chrome, macOS</t>
        </is>
      </c>
      <c r="M6" s="16" t="inlineStr">
        <is>
          <t>Fail</t>
        </is>
      </c>
      <c r="N6" s="16" t="inlineStr">
        <is>
          <t>Medium</t>
        </is>
      </c>
      <c r="O6" s="2" t="inlineStr">
        <is>
          <t>DEF-004</t>
        </is>
      </c>
      <c r="P6" s="13" t="n"/>
    </row>
    <row r="7">
      <c r="A7" s="2" t="inlineStr">
        <is>
          <t>TC-03-02</t>
        </is>
      </c>
      <c r="B7" s="2" t="inlineStr">
        <is>
          <t>Cart</t>
        </is>
      </c>
      <c r="C7" s="2" t="inlineStr">
        <is>
          <t>Buyer</t>
        </is>
      </c>
      <c r="D7" s="2" t="inlineStr">
        <is>
          <t>Quantity boundaries per line 1 and 99 (BR-03)</t>
        </is>
      </c>
      <c r="E7" s="2" t="inlineStr">
        <is>
          <t>Verify cart line quantity limits of 1 and 99.</t>
        </is>
      </c>
      <c r="F7" s="2" t="inlineStr">
        <is>
          <t>Boundary</t>
        </is>
      </c>
      <c r="G7" s="2" t="inlineStr">
        <is>
          <t>Cart has a line; product stock &gt;= 99 units</t>
        </is>
      </c>
      <c r="H7" s="2" t="inlineStr">
        <is>
          <t>1. Set qty 1 -&gt; accepted
2. Set qty 99 (via product page) -&gt; accepted
3. Set qty 100 -&gt; rejected</t>
        </is>
      </c>
      <c r="I7" s="2" t="inlineStr">
        <is>
          <t>1, 99, 100</t>
        </is>
      </c>
      <c r="J7" s="2" t="inlineStr">
        <is>
          <t>Quantities 1 and 99 should be accepted. Quantity 100 should be rejected with a clear message, and the line should stay unchanged.</t>
        </is>
      </c>
      <c r="K7" s="2" t="inlineStr">
        <is>
          <t>Quantities 1 and 99 were accepted. Quantity 100 was rejected with a message, and the line stayed unchanged.</t>
        </is>
      </c>
      <c r="L7" s="2" t="inlineStr">
        <is>
          <t>QA - http://13.200.185.1/c/purushoth-kumar-efaa03 | Chrome, macOS</t>
        </is>
      </c>
      <c r="M7" s="12" t="inlineStr">
        <is>
          <t>Pass</t>
        </is>
      </c>
      <c r="N7" s="12" t="inlineStr">
        <is>
          <t>High</t>
        </is>
      </c>
      <c r="O7" s="2" t="n"/>
      <c r="P7" s="15" t="n"/>
    </row>
    <row r="8">
      <c r="A8" s="2" t="inlineStr">
        <is>
          <t>TC-03-03</t>
        </is>
      </c>
      <c r="B8" s="2" t="inlineStr">
        <is>
          <t>Cart</t>
        </is>
      </c>
      <c r="C8" s="2" t="inlineStr">
        <is>
          <t>Buyer</t>
        </is>
      </c>
      <c r="D8" s="2" t="inlineStr">
        <is>
          <t>Cannot add more pieces than in stock (BR-01)</t>
        </is>
      </c>
      <c r="E8" s="2" t="inlineStr">
        <is>
          <t>Verify a buyer cannot order more than the available stock.</t>
        </is>
      </c>
      <c r="F8" s="2" t="inlineStr">
        <is>
          <t>Negative</t>
        </is>
      </c>
      <c r="G8" s="2" t="inlineStr">
        <is>
          <t>Logged in as buyer1; SKU-0007 Pure Basmati Rice has 1 piece in stock (case of 12)</t>
        </is>
      </c>
      <c r="H8" s="2" t="inlineStr">
        <is>
          <t>1. Open SKU-0007 Pure Basmati Rice
2. Choose Case, quantity 1 (12 pieces)
3. Click Add to cart</t>
        </is>
      </c>
      <c r="I8" s="2" t="inlineStr">
        <is>
          <t>SKU-0007 Pure Basmati Rice: stock 1 piece, case of 12 (try 1 case); SKU-0012 Farm Basmati Rice: stock 3, case 24</t>
        </is>
      </c>
      <c r="J8" s="2" t="inlineStr">
        <is>
          <t>The add should be rejected with a 'not enough stock' message. The cart should never hold more pieces than are in stock.</t>
        </is>
      </c>
      <c r="K8" s="2" t="inlineStr">
        <is>
          <t>Adding more than the available stock of the Test Data products was rejected with a 'not enough stock' message.</t>
        </is>
      </c>
      <c r="L8" s="2" t="inlineStr">
        <is>
          <t>QA - http://13.200.185.1/c/purushoth-kumar-efaa03 | Chrome, macOS</t>
        </is>
      </c>
      <c r="M8" s="12" t="inlineStr">
        <is>
          <t>Pass</t>
        </is>
      </c>
      <c r="N8" s="12" t="inlineStr">
        <is>
          <t>High</t>
        </is>
      </c>
      <c r="O8" s="2" t="n"/>
      <c r="P8" s="13" t="n"/>
    </row>
    <row r="9">
      <c r="A9" s="2" t="inlineStr">
        <is>
          <t>TC-04-01</t>
        </is>
      </c>
      <c r="B9" s="2" t="inlineStr">
        <is>
          <t>Checkout</t>
        </is>
      </c>
      <c r="C9" s="2" t="inlineStr">
        <is>
          <t>Buyer</t>
        </is>
      </c>
      <c r="D9" s="2" t="inlineStr">
        <is>
          <t>One summary row per seller plus grand total (5.2)</t>
        </is>
      </c>
      <c r="E9" s="2" t="inlineStr">
        <is>
          <t>Verify checkout shows a summary per seller and a grand total.</t>
        </is>
      </c>
      <c r="F9" s="2" t="inlineStr">
        <is>
          <t>Positive</t>
        </is>
      </c>
      <c r="G9" s="2" t="inlineStr">
        <is>
          <t>Cart has items from FreshFarm Foods and WholeCart Direct</t>
        </is>
      </c>
      <c r="H9" s="2" t="inlineStr">
        <is>
          <t>1. Proceed to checkout</t>
        </is>
      </c>
      <c r="I9" s="2" t="inlineStr">
        <is>
          <t>FreshFarm: Cardamom x2 case; WholeCart Direct: Butter case, Banana Chips case</t>
        </is>
      </c>
      <c r="J9" s="2" t="inlineStr">
        <is>
          <t>There should be one row per seller showing Net, Tax, Delivery (incl. tax) and Total. Grand total should equal the sum of the seller totals.</t>
        </is>
      </c>
      <c r="K9" s="2" t="inlineStr">
        <is>
          <t>One row per seller (FreshFarm ₹2,552.32, WholeCart Direct ₹2,004.82). Grand total ₹4,557.14 is correct.</t>
        </is>
      </c>
      <c r="L9" s="2" t="inlineStr">
        <is>
          <t>QA - http://13.200.185.1/c/purushoth-kumar-efaa03 | Chrome, macOS</t>
        </is>
      </c>
      <c r="M9" s="12" t="inlineStr">
        <is>
          <t>Pass</t>
        </is>
      </c>
      <c r="N9" s="12" t="inlineStr">
        <is>
          <t>High</t>
        </is>
      </c>
      <c r="O9" s="2" t="n"/>
      <c r="P9" s="15" t="n"/>
    </row>
    <row r="10">
      <c r="A10" s="2" t="inlineStr">
        <is>
          <t>TC-04-02</t>
        </is>
      </c>
      <c r="B10" s="2" t="inlineStr">
        <is>
          <t>Checkout</t>
        </is>
      </c>
      <c r="C10" s="2" t="inlineStr">
        <is>
          <t>Buyer</t>
        </is>
      </c>
      <c r="D10" s="2" t="inlineStr">
        <is>
          <t>Tax per rate on summed net, rounded half-up once per rate (BR-07)</t>
        </is>
      </c>
      <c r="E10" s="2" t="inlineStr">
        <is>
          <t>Verify tax is calculated and rounded per tax rate.</t>
        </is>
      </c>
      <c r="F10" s="2" t="inlineStr">
        <is>
          <t>Positive</t>
        </is>
      </c>
      <c r="G10" s="2" t="inlineStr">
        <is>
          <t>Seller sub-order with 5% and 18% lines</t>
        </is>
      </c>
      <c r="H10" s="2" t="inlineStr">
        <is>
          <t>1. Add lines
2. Open checkout
3. Recalculate tax by hand</t>
        </is>
      </c>
      <c r="I10" s="2" t="inlineStr">
        <is>
          <t>Butter case ₹692.76 (5%) + Banana Chips case ₹982.56 (18%)</t>
        </is>
      </c>
      <c r="J10" s="2" t="inlineStr">
        <is>
          <t>Tax should be calculated on the total net of each tax rate and rounded half-up once per rate. For Butter (5%) and Banana Chips (18%), tax should be ₹34.64 + ₹176.86 = ₹211.50.</t>
        </is>
      </c>
      <c r="K10" s="2" t="inlineStr">
        <is>
          <t>Tax is correct. Example: ₹1,584.24 at 5% shows ₹79.21 (rounded once, as required).</t>
        </is>
      </c>
      <c r="L10" s="2" t="inlineStr">
        <is>
          <t>QA - http://13.200.185.1/c/purushoth-kumar-efaa03 | Chrome, macOS</t>
        </is>
      </c>
      <c r="M10" s="12" t="inlineStr">
        <is>
          <t>Pass</t>
        </is>
      </c>
      <c r="N10" s="12" t="inlineStr">
        <is>
          <t>High</t>
        </is>
      </c>
      <c r="O10" s="2" t="n"/>
      <c r="P10" s="13" t="n"/>
    </row>
    <row r="11">
      <c r="A11" s="2" t="inlineStr">
        <is>
          <t>TC-04-03</t>
        </is>
      </c>
      <c r="B11" s="2" t="inlineStr">
        <is>
          <t>Checkout</t>
        </is>
      </c>
      <c r="C11" s="2" t="inlineStr">
        <is>
          <t>Buyer</t>
        </is>
      </c>
      <c r="D11" s="2" t="inlineStr">
        <is>
          <t>Delivery fee ₹118 when seller net below ₹3,000 (BR-08)</t>
        </is>
      </c>
      <c r="E11" s="2" t="inlineStr">
        <is>
          <t>Verify the ₹118 delivery fee below ₹3,000 per seller.</t>
        </is>
      </c>
      <c r="F11" s="2" t="inlineStr">
        <is>
          <t>Positive</t>
        </is>
      </c>
      <c r="G11" s="2" t="inlineStr">
        <is>
          <t>Logged in as buyer1 (Spice Route Kitchen) / Test@123</t>
        </is>
      </c>
      <c r="H11" s="2" t="inlineStr">
        <is>
          <t>1. Checkout with seller net ₹2,318.40</t>
        </is>
      </c>
      <c r="I11" s="2" t="inlineStr">
        <is>
          <t>-</t>
        </is>
      </c>
      <c r="J11" s="2" t="inlineStr">
        <is>
          <t>A delivery fee of ₹118.00 (₹100 + 18% tax) should be charged for each seller whose net is below ₹3,000.</t>
        </is>
      </c>
      <c r="K11" s="2" t="inlineStr">
        <is>
          <t>₹118 fee charged when seller net is below ₹3,000; no fee above ₹3,000.</t>
        </is>
      </c>
      <c r="L11" s="2" t="inlineStr">
        <is>
          <t>QA - http://13.200.185.1/c/purushoth-kumar-efaa03 | Chrome, macOS</t>
        </is>
      </c>
      <c r="M11" s="12" t="inlineStr">
        <is>
          <t>Pass</t>
        </is>
      </c>
      <c r="N11" s="12" t="inlineStr">
        <is>
          <t>High</t>
        </is>
      </c>
      <c r="O11" s="2" t="n"/>
      <c r="P11" s="15" t="n"/>
    </row>
    <row r="12">
      <c r="A12" s="2" t="inlineStr">
        <is>
          <t>TC-04-04</t>
        </is>
      </c>
      <c r="B12" s="2" t="inlineStr">
        <is>
          <t>Checkout</t>
        </is>
      </c>
      <c r="C12" s="2" t="inlineStr">
        <is>
          <t>Buyer</t>
        </is>
      </c>
      <c r="D12" s="2" t="inlineStr">
        <is>
          <t>No delivery fee at net exactly ₹3,000.00 and above</t>
        </is>
      </c>
      <c r="E12" s="2" t="inlineStr">
        <is>
          <t>Verify no delivery fee at ₹3,000 and above.</t>
        </is>
      </c>
      <c r="F12" s="2" t="inlineStr">
        <is>
          <t>Boundary</t>
        </is>
      </c>
      <c r="G12" s="2" t="inlineStr">
        <is>
          <t>Logged in as buyer1 (Spice Route Kitchen) / Test@123</t>
        </is>
      </c>
      <c r="H12" s="2" t="inlineStr">
        <is>
          <t>1. Build seller nets ₹2,999.99 / ₹3,000.00 / ₹3,000.01
2. Check fee</t>
        </is>
      </c>
      <c r="I12" s="2" t="inlineStr">
        <is>
          <t>2999.99, 3000.00, 3000.01</t>
        </is>
      </c>
      <c r="J12" s="2" t="inlineStr">
        <is>
          <t>Delivery fee should be ₹118.00 at ₹2,999.99. It should be ₹0.00 at ₹3,000.00 and above.</t>
        </is>
      </c>
      <c r="K12" s="2" t="inlineStr">
        <is>
          <t>Delivery fee was ₹118.00 below ₹3,000 (e.g. ₹2,240.00 net) and ₹0.00 at exactly ₹3,000.00 net (Almond Oil 2 pieces, WC-01028-1) and above.</t>
        </is>
      </c>
      <c r="L12" s="2" t="inlineStr">
        <is>
          <t>QA - http://13.200.185.1/c/purushoth-kumar-efaa03 | Chrome, macOS</t>
        </is>
      </c>
      <c r="M12" s="12" t="inlineStr">
        <is>
          <t>Pass</t>
        </is>
      </c>
      <c r="N12" s="12" t="inlineStr">
        <is>
          <t>High</t>
        </is>
      </c>
      <c r="O12" s="2" t="n"/>
      <c r="P12" s="13" t="n"/>
    </row>
    <row r="13">
      <c r="A13" s="2" t="inlineStr">
        <is>
          <t>TC-04-05</t>
        </is>
      </c>
      <c r="B13" s="2" t="inlineStr">
        <is>
          <t>Checkout</t>
        </is>
      </c>
      <c r="C13" s="2" t="inlineStr">
        <is>
          <t>Buyer</t>
        </is>
      </c>
      <c r="D13" s="2" t="inlineStr">
        <is>
          <t>Seller net below ₹1,500 blocks checkout (BR-04)</t>
        </is>
      </c>
      <c r="E13" s="2" t="inlineStr">
        <is>
          <t>Verify checkout is blocked below the minimum order.</t>
        </is>
      </c>
      <c r="F13" s="2" t="inlineStr">
        <is>
          <t>Negative</t>
        </is>
      </c>
      <c r="G13" s="2" t="inlineStr">
        <is>
          <t>Logged in as buyer1 (Spice Route Kitchen) / Test@123</t>
        </is>
      </c>
      <c r="H13" s="2" t="inlineStr">
        <is>
          <t>1. Cart with one seller net ₹1,499.99
2. Place order</t>
        </is>
      </c>
      <c r="I13" s="2" t="inlineStr">
        <is>
          <t>WholeCart Direct net ₹1,385.52 (Chef's Cumin Seeds 1 case)</t>
        </is>
      </c>
      <c r="J13" s="2" t="inlineStr">
        <is>
          <t>The order should not be placed. The message should name the seller and state the ₹1,500 minimum.</t>
        </is>
      </c>
      <c r="K13" s="2" t="inlineStr">
        <is>
          <t>Order is blocked, but the message says the minimum is ₹2,000 instead of ₹1,500.</t>
        </is>
      </c>
      <c r="L13" s="2" t="inlineStr">
        <is>
          <t>QA - http://13.200.185.1/c/purushoth-kumar-efaa03 | Chrome, macOS</t>
        </is>
      </c>
      <c r="M13" s="16" t="inlineStr">
        <is>
          <t>Fail</t>
        </is>
      </c>
      <c r="N13" s="16" t="inlineStr">
        <is>
          <t>High</t>
        </is>
      </c>
      <c r="O13" s="2" t="inlineStr">
        <is>
          <t>DEF-011</t>
        </is>
      </c>
      <c r="P13" s="15" t="n"/>
    </row>
    <row r="14">
      <c r="A14" s="2" t="inlineStr">
        <is>
          <t>TC-04-06</t>
        </is>
      </c>
      <c r="B14" s="2" t="inlineStr">
        <is>
          <t>Checkout</t>
        </is>
      </c>
      <c r="C14" s="2" t="inlineStr">
        <is>
          <t>Buyer</t>
        </is>
      </c>
      <c r="D14" s="2" t="inlineStr">
        <is>
          <t>Seller net exactly ₹1,500.00 allowed</t>
        </is>
      </c>
      <c r="E14" s="2" t="inlineStr">
        <is>
          <t>Verify an order of exactly the minimum is allowed.</t>
        </is>
      </c>
      <c r="F14" s="2" t="inlineStr">
        <is>
          <t>Boundary</t>
        </is>
      </c>
      <c r="G14" s="2" t="inlineStr">
        <is>
          <t>Logged in as buyer1 (Spice Route Kitchen) / Test@123</t>
        </is>
      </c>
      <c r="H14" s="2" t="inlineStr">
        <is>
          <t>1. Cart with seller net ₹1,500.00
2. Place order</t>
        </is>
      </c>
      <c r="I14" s="2" t="inlineStr">
        <is>
          <t>Seller net ₹1,500.00. 'Minimum order per seller' setting was ₹1,000 at the time of testing (default ₹2,000, see DEF-011).</t>
        </is>
      </c>
      <c r="J14" s="2" t="inlineStr">
        <is>
          <t>The order should be placed successfully at exactly ₹1,500.00 net.</t>
        </is>
      </c>
      <c r="K14" s="2" t="inlineStr">
        <is>
          <t>The order was placed successfully at ₹1,500.00 net.</t>
        </is>
      </c>
      <c r="L14" s="2" t="inlineStr">
        <is>
          <t>QA - http://13.200.185.1/c/purushoth-kumar-efaa03 | Chrome, macOS</t>
        </is>
      </c>
      <c r="M14" s="12" t="inlineStr">
        <is>
          <t>Pass</t>
        </is>
      </c>
      <c r="N14" s="12" t="inlineStr">
        <is>
          <t>High</t>
        </is>
      </c>
      <c r="O14" s="2" t="n"/>
      <c r="P14" s="13" t="n"/>
    </row>
    <row r="15">
      <c r="A15" s="2" t="inlineStr">
        <is>
          <t>TC-04-07</t>
        </is>
      </c>
      <c r="B15" s="2" t="inlineStr">
        <is>
          <t>Checkout</t>
        </is>
      </c>
      <c r="C15" s="2" t="inlineStr">
        <is>
          <t>Buyer</t>
        </is>
      </c>
      <c r="D15" s="2" t="inlineStr">
        <is>
          <t>Minimum checked per seller, not on the whole cart</t>
        </is>
      </c>
      <c r="E15" s="2" t="inlineStr">
        <is>
          <t>Verify the minimum order is checked for each seller.</t>
        </is>
      </c>
      <c r="F15" s="2" t="inlineStr">
        <is>
          <t>Negative</t>
        </is>
      </c>
      <c r="G15" s="2" t="inlineStr">
        <is>
          <t>Logged in as buyer1 (Spice Route Kitchen) / Test@123</t>
        </is>
      </c>
      <c r="H15" s="2" t="inlineStr">
        <is>
          <t>1. Seller A net ₹3,000, seller B net ₹500
2. Place order</t>
        </is>
      </c>
      <c r="I15" s="2" t="inlineStr">
        <is>
          <t>WC-01010: WholeCart Direct net ₹132.48 (Chef's Chana Dal 1 case) + Coastal Beverages ₹11,887.32</t>
        </is>
      </c>
      <c r="J15" s="2" t="inlineStr">
        <is>
          <t>Checkout should be blocked when any one seller is below the minimum, even if the cart total is above it. The message should name that seller.</t>
        </is>
      </c>
      <c r="K15" s="2" t="inlineStr">
        <is>
          <t>Order WC-01010-1 was placed with only ₹132.48 for WholeCart Direct, below the minimum.</t>
        </is>
      </c>
      <c r="L15" s="2" t="inlineStr">
        <is>
          <t>QA - http://13.200.185.1/c/purushoth-kumar-efaa03 | Chrome, macOS</t>
        </is>
      </c>
      <c r="M15" s="16" t="inlineStr">
        <is>
          <t>Fail</t>
        </is>
      </c>
      <c r="N15" s="16" t="inlineStr">
        <is>
          <t>High</t>
        </is>
      </c>
      <c r="O15" s="2" t="inlineStr">
        <is>
          <t>DEF-010</t>
        </is>
      </c>
      <c r="P15" s="15" t="n"/>
    </row>
    <row r="16">
      <c r="A16" s="2" t="inlineStr">
        <is>
          <t>TC-04-08</t>
        </is>
      </c>
      <c r="B16" s="2" t="inlineStr">
        <is>
          <t>Checkout</t>
        </is>
      </c>
      <c r="C16" s="2" t="inlineStr">
        <is>
          <t>Buyer</t>
        </is>
      </c>
      <c r="D16" s="2" t="inlineStr">
        <is>
          <t>Order split into one sub-order per seller with numbers WC-xxxxx-n (BR-09)</t>
        </is>
      </c>
      <c r="E16" s="2" t="inlineStr">
        <is>
          <t>Verify one sub-order is created per seller.</t>
        </is>
      </c>
      <c r="F16" s="2" t="inlineStr">
        <is>
          <t>Positive</t>
        </is>
      </c>
      <c r="G16" s="2" t="inlineStr">
        <is>
          <t>Cart with two sellers</t>
        </is>
      </c>
      <c r="H16" s="2" t="inlineStr">
        <is>
          <t>1. Choose valid date and slot
2. Place order</t>
        </is>
      </c>
      <c r="I16" s="2" t="inlineStr">
        <is>
          <t>Delivery 2026-10-15 08:00-11:00</t>
        </is>
      </c>
      <c r="J16" s="2" t="inlineStr">
        <is>
          <t>One sub-order should be created per seller, numbered with the same checkout number plus seller index (e.g. WC-01008-1, WC-01008-2).</t>
        </is>
      </c>
      <c r="K16" s="2" t="inlineStr">
        <is>
          <t>Two orders created: WC-01008-1 (WholeCart Direct) and WC-01008-2 (FreshFarm Foods).</t>
        </is>
      </c>
      <c r="L16" s="2" t="inlineStr">
        <is>
          <t>QA - http://13.200.185.1/c/purushoth-kumar-efaa03 | Chrome, macOS</t>
        </is>
      </c>
      <c r="M16" s="12" t="inlineStr">
        <is>
          <t>Pass</t>
        </is>
      </c>
      <c r="N16" s="12" t="inlineStr">
        <is>
          <t>High</t>
        </is>
      </c>
      <c r="O16" s="2" t="n"/>
      <c r="P16" s="13" t="n"/>
    </row>
    <row r="17">
      <c r="A17" s="2" t="inlineStr">
        <is>
          <t>TC-04-09</t>
        </is>
      </c>
      <c r="B17" s="2" t="inlineStr">
        <is>
          <t>Checkout</t>
        </is>
      </c>
      <c r="C17" s="2" t="inlineStr">
        <is>
          <t>Buyer</t>
        </is>
      </c>
      <c r="D17" s="2" t="inlineStr">
        <is>
          <t>Success message and redirect (5.2)</t>
        </is>
      </c>
      <c r="E17" s="2" t="inlineStr">
        <is>
          <t>Verify the order confirmation message and redirect.</t>
        </is>
      </c>
      <c r="F17" s="2" t="inlineStr">
        <is>
          <t>Positive</t>
        </is>
      </c>
      <c r="G17" s="2" t="inlineStr">
        <is>
          <t>Valid cart, date and slot</t>
        </is>
      </c>
      <c r="H17" s="2" t="inlineStr">
        <is>
          <t>1. Place order</t>
        </is>
      </c>
      <c r="I17" s="2" t="inlineStr">
        <is>
          <t>-</t>
        </is>
      </c>
      <c r="J17" s="2" t="inlineStr">
        <is>
          <t>Buyer should be taken to Order history. Message should read 'Your order has been placed. Order number: WC-01008-1, WC-01008-2'.</t>
        </is>
      </c>
      <c r="K17" s="2" t="inlineStr">
        <is>
          <t>Goes to Order history, but the message is only 'Order placed!' with no order numbers.</t>
        </is>
      </c>
      <c r="L17" s="2" t="inlineStr">
        <is>
          <t>QA - http://13.200.185.1/c/purushoth-kumar-efaa03 | Chrome, macOS</t>
        </is>
      </c>
      <c r="M17" s="16" t="inlineStr">
        <is>
          <t>Fail</t>
        </is>
      </c>
      <c r="N17" s="16" t="inlineStr">
        <is>
          <t>Medium</t>
        </is>
      </c>
      <c r="O17" s="2" t="inlineStr">
        <is>
          <t>DEF-003</t>
        </is>
      </c>
      <c r="P17" s="15" t="n"/>
    </row>
    <row r="18">
      <c r="A18" s="2" t="inlineStr">
        <is>
          <t>TC-04-10</t>
        </is>
      </c>
      <c r="B18" s="2" t="inlineStr">
        <is>
          <t>Checkout</t>
        </is>
      </c>
      <c r="C18" s="2" t="inlineStr">
        <is>
          <t>Buyer</t>
        </is>
      </c>
      <c r="D18" s="2" t="inlineStr">
        <is>
          <t>Cart is emptied after successful order</t>
        </is>
      </c>
      <c r="E18" s="2" t="inlineStr">
        <is>
          <t>Verify the cart is emptied after an order is placed.</t>
        </is>
      </c>
      <c r="F18" s="2" t="inlineStr">
        <is>
          <t>Positive</t>
        </is>
      </c>
      <c r="G18" s="2" t="inlineStr">
        <is>
          <t>Order just placed</t>
        </is>
      </c>
      <c r="H18" s="2" t="inlineStr">
        <is>
          <t>1. Open Cart</t>
        </is>
      </c>
      <c r="I18" s="2" t="inlineStr">
        <is>
          <t>-</t>
        </is>
      </c>
      <c r="J18" s="2" t="inlineStr">
        <is>
          <t>The cart should be empty after the order is placed.</t>
        </is>
      </c>
      <c r="K18" s="2" t="inlineStr">
        <is>
          <t>Cart is empty after placing an order.</t>
        </is>
      </c>
      <c r="L18" s="2" t="inlineStr">
        <is>
          <t>QA - http://13.200.185.1/c/purushoth-kumar-efaa03 | Chrome, macOS</t>
        </is>
      </c>
      <c r="M18" s="12" t="inlineStr">
        <is>
          <t>Pass</t>
        </is>
      </c>
      <c r="N18" s="12" t="inlineStr">
        <is>
          <t>High</t>
        </is>
      </c>
      <c r="O18" s="2" t="n"/>
      <c r="P18" s="18" t="n"/>
      <c r="Q18" s="18" t="n"/>
      <c r="R18" s="18" t="n"/>
      <c r="S18" s="18" t="n"/>
      <c r="T18" s="18" t="n"/>
      <c r="U18" s="18" t="n"/>
      <c r="V18" s="18" t="n"/>
    </row>
    <row r="19">
      <c r="A19" s="2" t="inlineStr">
        <is>
          <t>TC-04-11</t>
        </is>
      </c>
      <c r="B19" s="2" t="inlineStr">
        <is>
          <t>Checkout</t>
        </is>
      </c>
      <c r="C19" s="2" t="inlineStr">
        <is>
          <t>Buyer</t>
        </is>
      </c>
      <c r="D19" s="2" t="inlineStr">
        <is>
          <t>Double submit creates one order (BR-10)</t>
        </is>
      </c>
      <c r="E19" s="2" t="inlineStr">
        <is>
          <t>Verify a double-click on Place order creates one order.</t>
        </is>
      </c>
      <c r="F19" s="2" t="inlineStr">
        <is>
          <t>Negative</t>
        </is>
      </c>
      <c r="G19" s="2" t="inlineStr">
        <is>
          <t>Logged in as buyer1; cart has SKU-910 Almond Oil, 2 pieces</t>
        </is>
      </c>
      <c r="H19" s="2" t="inlineStr">
        <is>
          <t>1. Proceed to checkout and choose a valid date and slot
2. Double-click Place order
3. Check Order history and the product stock</t>
        </is>
      </c>
      <c r="I19" s="2" t="inlineStr">
        <is>
          <t>SKU-910 Almond Oil, 2 pieces (stock 30)</t>
        </is>
      </c>
      <c r="J19" s="2" t="inlineStr">
        <is>
          <t>Only one order should be created. Order history should show one set of sub-orders, and stock should be reduced only once.</t>
        </is>
      </c>
      <c r="K19" s="2" t="inlineStr">
        <is>
          <t>Double-clicking Place order created two orders (WC-01028-1 and WC-01029-1, both ₹3,150.00). Stock dropped from 30 to 26, so it was deducted twice.</t>
        </is>
      </c>
      <c r="L19" s="2" t="inlineStr">
        <is>
          <t>QA - http://13.200.185.1/c/purushoth-kumar-efaa03 | Chrome, macOS</t>
        </is>
      </c>
      <c r="M19" s="16" t="inlineStr">
        <is>
          <t>Fail</t>
        </is>
      </c>
      <c r="N19" s="16" t="inlineStr">
        <is>
          <t>High</t>
        </is>
      </c>
      <c r="O19" s="2" t="inlineStr">
        <is>
          <t>DEF-018</t>
        </is>
      </c>
      <c r="P19" s="15" t="n"/>
    </row>
    <row r="20">
      <c r="A20" s="2" t="inlineStr">
        <is>
          <t>TC-04-12</t>
        </is>
      </c>
      <c r="B20" s="2" t="inlineStr">
        <is>
          <t>Checkout</t>
        </is>
      </c>
      <c r="C20" s="2" t="inlineStr">
        <is>
          <t>Buyer</t>
        </is>
      </c>
      <c r="D20" s="2" t="inlineStr">
        <is>
          <t>Two buyers ordering the last stock at the same time (BR-01)</t>
        </is>
      </c>
      <c r="E20" s="2" t="inlineStr">
        <is>
          <t>Verify stock is not oversold when two buyers order together.</t>
        </is>
      </c>
      <c r="F20" s="2" t="inlineStr">
        <is>
          <t>Negative</t>
        </is>
      </c>
      <c r="G20" s="2" t="inlineStr">
        <is>
          <t>Product stock 6 pcs; buyer1 and buyer2 each have 1 case (6 pcs) in cart</t>
        </is>
      </c>
      <c r="H20" s="2" t="inlineStr">
        <is>
          <t>1. Both place order at the same moment (parallel requests)</t>
        </is>
      </c>
      <c r="I20" s="2" t="inlineStr">
        <is>
          <t>buyer1, buyer2</t>
        </is>
      </c>
      <c r="J20" s="2" t="inlineStr">
        <is>
          <t>Only one order should succeed. The other buyer should get a 'not enough stock' message, and stock should never go below zero.</t>
        </is>
      </c>
      <c r="K20" s="2" t="inlineStr">
        <is>
          <t>Only one order succeeded. The other buyer got a 'not enough stock' message, and stock did not go below zero.</t>
        </is>
      </c>
      <c r="L20" s="2" t="inlineStr">
        <is>
          <t>QA - http://13.200.185.1/c/purushoth-kumar-efaa03 | Chrome, macOS</t>
        </is>
      </c>
      <c r="M20" s="12" t="inlineStr">
        <is>
          <t>Pass</t>
        </is>
      </c>
      <c r="N20" s="12" t="inlineStr">
        <is>
          <t>High</t>
        </is>
      </c>
      <c r="O20" s="2" t="n"/>
      <c r="P20" s="13" t="n"/>
    </row>
    <row r="21">
      <c r="A21" s="2" t="inlineStr">
        <is>
          <t>TC-05-01</t>
        </is>
      </c>
      <c r="B21" s="2" t="inlineStr">
        <is>
          <t>Delivery Slots</t>
        </is>
      </c>
      <c r="C21" s="2" t="inlineStr">
        <is>
          <t>Buyer, Operator</t>
        </is>
      </c>
      <c r="D21" s="2" t="inlineStr">
        <is>
          <t>Delivery date allowed today to today+7 (BR-05)</t>
        </is>
      </c>
      <c r="E21" s="2" t="inlineStr">
        <is>
          <t>Verify delivery date is limited to today to today+7.</t>
        </is>
      </c>
      <c r="F21" s="2" t="inlineStr">
        <is>
          <t>Boundary</t>
        </is>
      </c>
      <c r="G21" s="2" t="inlineStr">
        <is>
          <t>Logged in as buyer1 (Spice Route Kitchen) / Test@123; Operator has fixed the store clock (BR-24) to the time given in Test Data</t>
        </is>
      </c>
      <c r="H21" s="2" t="inlineStr">
        <is>
          <t>1. Pick today, today+7, today+8, yesterday
2. Show slots / place order</t>
        </is>
      </c>
      <c r="I21" s="2" t="inlineStr">
        <is>
          <t>Clock 2026-10-14 09:00</t>
        </is>
      </c>
      <c r="J21" s="2" t="inlineStr">
        <is>
          <t>Dates from today to today+7 should be allowed. Yesterday and today+8 should be rejected with a clear reason.</t>
        </is>
      </c>
      <c r="K21" s="2" t="inlineStr">
        <is>
          <t>Today+8 (22/10/2026) is blocked with 'Delivery date must be within 7 days'. Dates within 7 days are allowed.</t>
        </is>
      </c>
      <c r="L21" s="2" t="inlineStr">
        <is>
          <t>QA - http://13.200.185.1/c/purushoth-kumar-efaa03 | Chrome, macOS</t>
        </is>
      </c>
      <c r="M21" s="12" t="inlineStr">
        <is>
          <t>Pass</t>
        </is>
      </c>
      <c r="N21" s="12" t="inlineStr">
        <is>
          <t>High</t>
        </is>
      </c>
      <c r="O21" s="2" t="n"/>
      <c r="P21" s="15" t="n"/>
    </row>
    <row r="22">
      <c r="A22" s="2" t="inlineStr">
        <is>
          <t>TC-05-02</t>
        </is>
      </c>
      <c r="B22" s="2" t="inlineStr">
        <is>
          <t>Delivery Slots</t>
        </is>
      </c>
      <c r="C22" s="2" t="inlineStr">
        <is>
          <t>Buyer</t>
        </is>
      </c>
      <c r="D22" s="2" t="inlineStr">
        <is>
          <t>Same-day morning slots always disabled with reason (BR-06)</t>
        </is>
      </c>
      <c r="E22" s="2" t="inlineStr">
        <is>
          <t>Verify same-day morning slots are disabled.</t>
        </is>
      </c>
      <c r="F22" s="2" t="inlineStr">
        <is>
          <t>Negative</t>
        </is>
      </c>
      <c r="G22" s="2" t="inlineStr">
        <is>
          <t>Logged in as buyer1 (Spice Route Kitchen) / Test@123</t>
        </is>
      </c>
      <c r="H22" s="2" t="inlineStr">
        <is>
          <t>1. Choose today
2. Show slots</t>
        </is>
      </c>
      <c r="I22" s="2" t="inlineStr">
        <is>
          <t>Today</t>
        </is>
      </c>
      <c r="J22" s="2" t="inlineStr">
        <is>
          <t>For today, the 08:00-11:00 and 11:00-14:00 slots should be disabled with the reason shown.</t>
        </is>
      </c>
      <c r="K22" s="2" t="inlineStr">
        <is>
          <t>Morning slots for today are disabled with a reason shown.</t>
        </is>
      </c>
      <c r="L22" s="2" t="inlineStr">
        <is>
          <t>QA - http://13.200.185.1/c/purushoth-kumar-efaa03 | Chrome, macOS</t>
        </is>
      </c>
      <c r="M22" s="16" t="inlineStr">
        <is>
          <t>Pass</t>
        </is>
      </c>
      <c r="N22" s="16" t="inlineStr">
        <is>
          <t>High</t>
        </is>
      </c>
      <c r="O22" s="2" t="n"/>
      <c r="P22" s="13" t="n"/>
    </row>
    <row r="23">
      <c r="A23" s="2" t="inlineStr">
        <is>
          <t>TC-05-03</t>
        </is>
      </c>
      <c r="B23" s="2" t="inlineStr">
        <is>
          <t>Delivery Slots</t>
        </is>
      </c>
      <c r="C23" s="2" t="inlineStr">
        <is>
          <t>Buyer, Operator</t>
        </is>
      </c>
      <c r="D23" s="2" t="inlineStr">
        <is>
          <t>Same-day slots disabled at and after cut-off 10:00</t>
        </is>
      </c>
      <c r="E23" s="2" t="inlineStr">
        <is>
          <t>Verify same-day slots close at the 10:00 cut-off.</t>
        </is>
      </c>
      <c r="F23" s="2" t="inlineStr">
        <is>
          <t>Boundary</t>
        </is>
      </c>
      <c r="G23" s="2" t="inlineStr">
        <is>
          <t>Operator has fixed the store clock (BR-24) to the time given in Test Data</t>
        </is>
      </c>
      <c r="H23" s="2" t="inlineStr">
        <is>
          <t>1. Choose today
2. Show slots
3. Try to post order with 14:00-17:00 anyway</t>
        </is>
      </c>
      <c r="I23" s="2" t="inlineStr">
        <is>
          <t>Clock 10:00:00 and 10:48</t>
        </is>
      </c>
      <c r="J23" s="2" t="inlineStr">
        <is>
          <t>From 10:00, today's 14:00-17:00 and 17:00-20:00 slots should be disabled with the reason shown. A forced request should also be rejected by the server.</t>
        </is>
      </c>
      <c r="K23" s="2" t="inlineStr">
        <is>
          <t>After 10:00, today's afternoon and evening slots are disabled with 'Same-day orders must be placed before 10:00'.</t>
        </is>
      </c>
      <c r="L23" s="2" t="inlineStr">
        <is>
          <t>QA - http://13.200.185.1/c/purushoth-kumar-efaa03 | Chrome, macOS</t>
        </is>
      </c>
      <c r="M23" s="16" t="inlineStr">
        <is>
          <t>Pass</t>
        </is>
      </c>
      <c r="N23" s="16" t="inlineStr">
        <is>
          <t>High</t>
        </is>
      </c>
      <c r="O23" s="2" t="n"/>
      <c r="P23" s="15" t="n"/>
    </row>
    <row r="24">
      <c r="A24" s="2" t="inlineStr">
        <is>
          <t>TC-05-04</t>
        </is>
      </c>
      <c r="B24" s="2" t="inlineStr">
        <is>
          <t>Delivery Slots</t>
        </is>
      </c>
      <c r="C24" s="2" t="inlineStr">
        <is>
          <t>Buyer</t>
        </is>
      </c>
      <c r="D24" s="2" t="inlineStr">
        <is>
          <t>Slot full after 5 orders (BR-05)</t>
        </is>
      </c>
      <c r="E24" s="2" t="inlineStr">
        <is>
          <t>Verify a slot closes after 5 orders.</t>
        </is>
      </c>
      <c r="F24" s="2" t="inlineStr">
        <is>
          <t>Boundary</t>
        </is>
      </c>
      <c r="G24" s="2" t="inlineStr">
        <is>
          <t>4 orders already in 2026-10-16 08:00-11:00</t>
        </is>
      </c>
      <c r="H24" s="2" t="inlineStr">
        <is>
          <t>1. Place 5th order in slot -&gt; OK
2. Try 6th order in same slot</t>
        </is>
      </c>
      <c r="I24" s="2" t="inlineStr">
        <is>
          <t>Capacity 5</t>
        </is>
      </c>
      <c r="J24" s="2" t="inlineStr">
        <is>
          <t>The 5th order should be accepted. After that the slot should show as full and a 6th order should be rejected.</t>
        </is>
      </c>
      <c r="K24" s="2" t="inlineStr">
        <is>
          <t>The 5th order was accepted. The slot then showed as full, and a 6th order was rejected.</t>
        </is>
      </c>
      <c r="L24" s="2" t="inlineStr">
        <is>
          <t>QA - http://13.200.185.1/c/purushoth-kumar-efaa03 | Chrome, macOS</t>
        </is>
      </c>
      <c r="M24" s="12" t="inlineStr">
        <is>
          <t>Pass</t>
        </is>
      </c>
      <c r="N24" s="12" t="inlineStr">
        <is>
          <t>High</t>
        </is>
      </c>
      <c r="O24" s="2" t="n"/>
      <c r="P24" s="13" t="n"/>
    </row>
    <row r="25">
      <c r="A25" s="2" t="inlineStr">
        <is>
          <t>TC-06-01</t>
        </is>
      </c>
      <c r="B25" s="2" t="inlineStr">
        <is>
          <t>Order History</t>
        </is>
      </c>
      <c r="C25" s="2" t="inlineStr">
        <is>
          <t>Buyer</t>
        </is>
      </c>
      <c r="D25" s="2" t="inlineStr">
        <is>
          <t>Cancelled orders stay listed with status Cancelled (BR-11)</t>
        </is>
      </c>
      <c r="E25" s="2" t="inlineStr">
        <is>
          <t>Verify cancelled orders stay in Order history.</t>
        </is>
      </c>
      <c r="F25" s="2" t="inlineStr">
        <is>
          <t>Positive</t>
        </is>
      </c>
      <c r="G25" s="2" t="inlineStr">
        <is>
          <t>One order cancelled</t>
        </is>
      </c>
      <c r="H25" s="2" t="inlineStr">
        <is>
          <t>1. Open Orders</t>
        </is>
      </c>
      <c r="I25" s="2" t="inlineStr">
        <is>
          <t>WC-01008-1</t>
        </is>
      </c>
      <c r="J25" s="2" t="inlineStr">
        <is>
          <t>The cancelled order should stay in Order history with status 'Cancelled' and its original total.</t>
        </is>
      </c>
      <c r="K25" s="2" t="inlineStr">
        <is>
          <t>Cancelled order WC-01008-1 stays in Order history with status 'cancelled'.</t>
        </is>
      </c>
      <c r="L25" s="2" t="inlineStr">
        <is>
          <t>QA - http://13.200.185.1/c/purushoth-kumar-efaa03 | Chrome, macOS</t>
        </is>
      </c>
      <c r="M25" s="12" t="inlineStr">
        <is>
          <t>Pass</t>
        </is>
      </c>
      <c r="N25" s="12" t="inlineStr">
        <is>
          <t>High</t>
        </is>
      </c>
      <c r="O25" s="2" t="n"/>
      <c r="P25" s="15" t="n"/>
    </row>
    <row r="26">
      <c r="A26" s="2" t="inlineStr">
        <is>
          <t>TC-06-02</t>
        </is>
      </c>
      <c r="B26" s="2" t="inlineStr">
        <is>
          <t>Order History</t>
        </is>
      </c>
      <c r="C26" s="2" t="inlineStr">
        <is>
          <t>Buyer</t>
        </is>
      </c>
      <c r="D26" s="2" t="inlineStr">
        <is>
          <t>Only actions valid for the status are shown</t>
        </is>
      </c>
      <c r="E26" s="2" t="inlineStr">
        <is>
          <t>Verify order detail shows only valid actions for its status.</t>
        </is>
      </c>
      <c r="F26" s="2" t="inlineStr">
        <is>
          <t>Negative</t>
        </is>
      </c>
      <c r="G26" s="2" t="inlineStr">
        <is>
          <t>Orders in placed, cancelled, delivered status</t>
        </is>
      </c>
      <c r="H26" s="2" t="inlineStr">
        <is>
          <t>1. View each order</t>
        </is>
      </c>
      <c r="I26" s="2" t="inlineStr">
        <is>
          <t>-</t>
        </is>
      </c>
      <c r="J26" s="2" t="inlineStr">
        <is>
          <t>Cancel should show only for placed/accepted orders within 5 minutes. Redelivery should show only after a failed delivery. Refund/exchange should show only for delivered orders. Cancelled orders should show only Reorder.</t>
        </is>
      </c>
      <c r="K26" s="2" t="inlineStr">
        <is>
          <t>Cancelled, placed and delivered orders still show Cancel, Change slot, Redelivery and Refund buttons.</t>
        </is>
      </c>
      <c r="L26" s="2" t="inlineStr">
        <is>
          <t>QA - http://13.200.185.1/c/purushoth-kumar-efaa03 | Chrome, macOS</t>
        </is>
      </c>
      <c r="M26" s="16" t="inlineStr">
        <is>
          <t>Fail</t>
        </is>
      </c>
      <c r="N26" s="16" t="inlineStr">
        <is>
          <t>Medium</t>
        </is>
      </c>
      <c r="O26" s="2" t="inlineStr">
        <is>
          <t>DEF-005</t>
        </is>
      </c>
      <c r="P26" s="13" t="n"/>
    </row>
    <row r="27">
      <c r="A27" s="2" t="inlineStr">
        <is>
          <t>TC-06-03</t>
        </is>
      </c>
      <c r="B27" s="2" t="inlineStr">
        <is>
          <t>Order History</t>
        </is>
      </c>
      <c r="C27" s="2" t="inlineStr">
        <is>
          <t>Buyer</t>
        </is>
      </c>
      <c r="D27" s="2" t="inlineStr">
        <is>
          <t>Money shown in rupee format with thousands separator</t>
        </is>
      </c>
      <c r="E27" s="2" t="inlineStr">
        <is>
          <t>Verify amounts use a thousands separator.</t>
        </is>
      </c>
      <c r="F27" s="2" t="inlineStr">
        <is>
          <t>Positive</t>
        </is>
      </c>
      <c r="G27" s="2" t="inlineStr">
        <is>
          <t>-</t>
        </is>
      </c>
      <c r="H27" s="2" t="inlineStr">
        <is>
          <t>1. Compare amounts with FDD mock-ups</t>
        </is>
      </c>
      <c r="I27" s="2" t="inlineStr">
        <is>
          <t>-</t>
        </is>
      </c>
      <c r="J27" s="2" t="inlineStr">
        <is>
          <t>All amounts should be shown with a thousands separator, e.g. ₹2,552.32.</t>
        </is>
      </c>
      <c r="K27" s="2" t="inlineStr">
        <is>
          <t>Amounts show as ₹2552.32 instead of ₹2,552.32.</t>
        </is>
      </c>
      <c r="L27" s="2" t="inlineStr">
        <is>
          <t>QA - http://13.200.185.1/c/purushoth-kumar-efaa03 | Chrome, macOS</t>
        </is>
      </c>
      <c r="M27" s="16" t="inlineStr">
        <is>
          <t>Fail</t>
        </is>
      </c>
      <c r="N27" s="16" t="inlineStr">
        <is>
          <t>Low</t>
        </is>
      </c>
      <c r="O27" s="2" t="inlineStr">
        <is>
          <t>DEF-007</t>
        </is>
      </c>
      <c r="P27" s="15" t="n"/>
    </row>
    <row r="28">
      <c r="A28" s="2" t="inlineStr">
        <is>
          <t>TC-07-01</t>
        </is>
      </c>
      <c r="B28" s="2" t="inlineStr">
        <is>
          <t>Cancellation</t>
        </is>
      </c>
      <c r="C28" s="2" t="inlineStr">
        <is>
          <t>Buyer</t>
        </is>
      </c>
      <c r="D28" s="2" t="inlineStr">
        <is>
          <t>Buyer cancels a placed order within 5 minutes</t>
        </is>
      </c>
      <c r="E28" s="2" t="inlineStr">
        <is>
          <t>Verify a buyer can cancel within 5 minutes.</t>
        </is>
      </c>
      <c r="F28" s="2" t="inlineStr">
        <is>
          <t>Positive</t>
        </is>
      </c>
      <c r="G28" s="2" t="inlineStr">
        <is>
          <t>Order placed &lt; 5 min ago</t>
        </is>
      </c>
      <c r="H28" s="2" t="inlineStr">
        <is>
          <t>1. View order
2. Cancel order</t>
        </is>
      </c>
      <c r="I28" s="2" t="inlineStr">
        <is>
          <t>WC-01008-1 placed 10:48:58</t>
        </is>
      </c>
      <c r="J28" s="2" t="inlineStr">
        <is>
          <t>The order should be cancelled and its status should change to 'Cancelled'. It should stay in Order history, and its stock should be returned.</t>
        </is>
      </c>
      <c r="K28" s="2" t="inlineStr">
        <is>
          <t>Order cancelled within 5 minutes; status changed to 'cancelled'.</t>
        </is>
      </c>
      <c r="L28" s="2" t="inlineStr">
        <is>
          <t>QA - http://13.200.185.1/c/purushoth-kumar-efaa03 | Chrome, macOS</t>
        </is>
      </c>
      <c r="M28" s="12" t="inlineStr">
        <is>
          <t>Pass</t>
        </is>
      </c>
      <c r="N28" s="12" t="inlineStr">
        <is>
          <t>High</t>
        </is>
      </c>
      <c r="O28" s="2" t="n"/>
      <c r="P28" s="13" t="n"/>
    </row>
    <row r="29">
      <c r="A29" s="2" t="inlineStr">
        <is>
          <t>TC-07-02</t>
        </is>
      </c>
      <c r="B29" s="2" t="inlineStr">
        <is>
          <t>Cancellation</t>
        </is>
      </c>
      <c r="C29" s="2" t="inlineStr">
        <is>
          <t>Buyer, Operator</t>
        </is>
      </c>
      <c r="D29" s="2" t="inlineStr">
        <is>
          <t>Cancel at exactly 5:00 allowed, 5:01 rejected (BR-11)</t>
        </is>
      </c>
      <c r="E29" s="2" t="inlineStr">
        <is>
          <t>Verify the 5-minute cancel boundary.</t>
        </is>
      </c>
      <c r="F29" s="2" t="inlineStr">
        <is>
          <t>Boundary</t>
        </is>
      </c>
      <c r="G29" s="2" t="inlineStr">
        <is>
          <t>Operator has fixed the store clock (BR-24) to the time given in Test Data</t>
        </is>
      </c>
      <c r="H29" s="2" t="inlineStr">
        <is>
          <t>1. Place order at T
2. Set clock T+5:00, cancel -&gt; OK
3. New order, clock T+5:01, cancel</t>
        </is>
      </c>
      <c r="I29" s="2" t="inlineStr">
        <is>
          <t>T = 2026-10-14 09:00:00</t>
        </is>
      </c>
      <c r="J29" s="2" t="inlineStr">
        <is>
          <t>Cancel at exactly 5 minutes 0 seconds should succeed. Cancel at 5 minutes 1 second should be rejected with the 'within 5 minutes' message.</t>
        </is>
      </c>
      <c r="K29" s="2" t="inlineStr">
        <is>
          <t>Cancel at exactly 5 minutes succeeded. Cancel at 5 minutes 1 second was rejected with the 'within 5 minutes' message.</t>
        </is>
      </c>
      <c r="L29" s="2" t="inlineStr">
        <is>
          <t>QA - http://13.200.185.1/c/purushoth-kumar-efaa03 | Chrome, macOS</t>
        </is>
      </c>
      <c r="M29" s="12" t="inlineStr">
        <is>
          <t>Pass</t>
        </is>
      </c>
      <c r="N29" s="12" t="inlineStr">
        <is>
          <t>High</t>
        </is>
      </c>
      <c r="O29" s="2" t="n"/>
      <c r="P29" s="15" t="n"/>
    </row>
    <row r="30">
      <c r="A30" s="2" t="inlineStr">
        <is>
          <t>TC-07-03</t>
        </is>
      </c>
      <c r="B30" s="2" t="inlineStr">
        <is>
          <t>Cancellation</t>
        </is>
      </c>
      <c r="C30" s="2" t="inlineStr">
        <is>
          <t>Buyer</t>
        </is>
      </c>
      <c r="D30" s="2" t="inlineStr">
        <is>
          <t>Cancel after 5 minutes rejected</t>
        </is>
      </c>
      <c r="E30" s="2" t="inlineStr">
        <is>
          <t>Verify cancel is rejected after 5 minutes.</t>
        </is>
      </c>
      <c r="F30" s="2" t="inlineStr">
        <is>
          <t>Negative</t>
        </is>
      </c>
      <c r="G30" s="2" t="inlineStr">
        <is>
          <t>Order placed &gt; 5 min ago</t>
        </is>
      </c>
      <c r="H30" s="2" t="inlineStr">
        <is>
          <t>1. View order
2. Cancel order</t>
        </is>
      </c>
      <c r="I30" s="2" t="inlineStr">
        <is>
          <t>WC-01007-1 placed 10:44:06, tried ~10:50</t>
        </is>
      </c>
      <c r="J30" s="2" t="inlineStr">
        <is>
          <t>Cancel should be rejected with the 'within 5 minutes' message, and the order status should stay unchanged.</t>
        </is>
      </c>
      <c r="K30" s="2" t="inlineStr">
        <is>
          <t>Cancel after 5 minutes is rejected with 'Orders can only be cancelled within 5 minutes'.</t>
        </is>
      </c>
      <c r="L30" s="2" t="inlineStr">
        <is>
          <t>QA - http://13.200.185.1/c/purushoth-kumar-efaa03 | Chrome, macOS</t>
        </is>
      </c>
      <c r="M30" s="12" t="inlineStr">
        <is>
          <t>Pass</t>
        </is>
      </c>
      <c r="N30" s="12" t="inlineStr">
        <is>
          <t>High</t>
        </is>
      </c>
      <c r="O30" s="2" t="n"/>
      <c r="P30" s="13" t="n"/>
    </row>
    <row r="31">
      <c r="A31" s="2" t="inlineStr">
        <is>
          <t>TC-07-04</t>
        </is>
      </c>
      <c r="B31" s="2" t="inlineStr">
        <is>
          <t>Cancellation</t>
        </is>
      </c>
      <c r="C31" s="2" t="inlineStr">
        <is>
          <t>Buyer</t>
        </is>
      </c>
      <c r="D31" s="2" t="inlineStr">
        <is>
          <t>Stock returned on cancellation</t>
        </is>
      </c>
      <c r="E31" s="2" t="inlineStr">
        <is>
          <t>Verify stock is returned when an order is cancelled.</t>
        </is>
      </c>
      <c r="F31" s="2" t="inlineStr">
        <is>
          <t>Positive</t>
        </is>
      </c>
      <c r="G31" s="2" t="inlineStr">
        <is>
          <t>Stock S before order of 12 pcs</t>
        </is>
      </c>
      <c r="H31" s="2" t="inlineStr">
        <is>
          <t>1. Place order
2. Cancel
3. Check stock</t>
        </is>
      </c>
      <c r="I31" s="2" t="inlineStr">
        <is>
          <t>-</t>
        </is>
      </c>
      <c r="J31" s="2" t="inlineStr">
        <is>
          <t>Stock of every product in the cancelled order should go back to the level before the order.</t>
        </is>
      </c>
      <c r="K31" s="2" t="inlineStr">
        <is>
          <t>Stock of every product in the cancelled order went back to the level before the order.</t>
        </is>
      </c>
      <c r="L31" s="2" t="inlineStr">
        <is>
          <t>QA - http://13.200.185.1/c/purushoth-kumar-efaa03 | Chrome, macOS</t>
        </is>
      </c>
      <c r="M31" s="12" t="inlineStr">
        <is>
          <t>Pass</t>
        </is>
      </c>
      <c r="N31" s="12" t="inlineStr">
        <is>
          <t>High</t>
        </is>
      </c>
      <c r="O31" s="2" t="n"/>
      <c r="P31" s="15" t="n"/>
    </row>
    <row r="32">
      <c r="A32" s="2" t="inlineStr">
        <is>
          <t>TC-07-05</t>
        </is>
      </c>
      <c r="B32" s="2" t="inlineStr">
        <is>
          <t>Cancellation</t>
        </is>
      </c>
      <c r="C32" s="2" t="inlineStr">
        <is>
          <t>Buyer, Seller</t>
        </is>
      </c>
      <c r="D32" s="2" t="inlineStr">
        <is>
          <t>Seller cancels; buyer sees Cancelled immediately (BR-12)</t>
        </is>
      </c>
      <c r="E32" s="2" t="inlineStr">
        <is>
          <t>Verify a seller cancellation shows to the buyer immediately.</t>
        </is>
      </c>
      <c r="F32" s="2" t="inlineStr">
        <is>
          <t>Positive</t>
        </is>
      </c>
      <c r="G32" s="2" t="inlineStr">
        <is>
          <t>Placed order for seller2</t>
        </is>
      </c>
      <c r="H32" s="2" t="inlineStr">
        <is>
          <t>1. seller2 cancels
2. buyer1 refreshes Orders</t>
        </is>
      </c>
      <c r="I32" s="2" t="inlineStr">
        <is>
          <t>WC-01012-1 (accepted), WC-01010-1 (placed), WC-01009-1 cancelled by seller1</t>
        </is>
      </c>
      <c r="J32" s="2" t="inlineStr">
        <is>
          <t>The buyer should see status 'Cancelled' straight away in Order history and order detail. Stock should be returned.</t>
        </is>
      </c>
      <c r="K32" s="2" t="inlineStr">
        <is>
          <t>Seller cancelled WC-01012-1 and WC-01010-1, but the buyer still sees them as 'accepted' and 'placed'.</t>
        </is>
      </c>
      <c r="L32" s="2" t="inlineStr">
        <is>
          <t>QA - http://13.200.185.1/c/purushoth-kumar-efaa03 | Chrome, macOS</t>
        </is>
      </c>
      <c r="M32" s="16" t="inlineStr">
        <is>
          <t>Fail</t>
        </is>
      </c>
      <c r="N32" s="16" t="inlineStr">
        <is>
          <t>High</t>
        </is>
      </c>
      <c r="O32" s="2" t="inlineStr">
        <is>
          <t>DEF-009</t>
        </is>
      </c>
      <c r="P32" s="13" t="n"/>
    </row>
    <row r="33">
      <c r="A33" s="2" t="inlineStr">
        <is>
          <t>TC-08-01</t>
        </is>
      </c>
      <c r="B33" s="2" t="inlineStr">
        <is>
          <t>Slot Change</t>
        </is>
      </c>
      <c r="C33" s="2" t="inlineStr">
        <is>
          <t>Buyer</t>
        </is>
      </c>
      <c r="D33" s="2" t="inlineStr">
        <is>
          <t>Buyer changes slot before shipping (BR-15)</t>
        </is>
      </c>
      <c r="E33" s="2" t="inlineStr">
        <is>
          <t>Verify a buyer can change the delivery slot before shipping.</t>
        </is>
      </c>
      <c r="F33" s="2" t="inlineStr">
        <is>
          <t>Positive</t>
        </is>
      </c>
      <c r="G33" s="2" t="inlineStr">
        <is>
          <t>Order placed/accepted</t>
        </is>
      </c>
      <c r="H33" s="2" t="inlineStr">
        <is>
          <t>1. View order
2. Choose new date/slot
3. Change slot</t>
        </is>
      </c>
      <c r="I33" s="2" t="inlineStr">
        <is>
          <t>2026-10-16 14:00-17:00</t>
        </is>
      </c>
      <c r="J33" s="2" t="inlineStr">
        <is>
          <t>The new date and slot should be saved and shown in the order detail, Order history and the seller's order list.</t>
        </is>
      </c>
      <c r="K33" s="2" t="inlineStr">
        <is>
          <t>The slot was changed to 2026-10-16 14:00-17:00 and shown in the order detail, Order history and the seller's order list.</t>
        </is>
      </c>
      <c r="L33" s="2" t="inlineStr">
        <is>
          <t>QA - http://13.200.185.1/c/purushoth-kumar-efaa03 | Chrome, macOS</t>
        </is>
      </c>
      <c r="M33" s="12" t="inlineStr">
        <is>
          <t>Pass</t>
        </is>
      </c>
      <c r="N33" s="12" t="inlineStr">
        <is>
          <t>High</t>
        </is>
      </c>
      <c r="O33" s="2" t="n"/>
      <c r="P33" s="15" t="n"/>
    </row>
    <row r="34">
      <c r="A34" s="2" t="inlineStr">
        <is>
          <t>TC-08-02</t>
        </is>
      </c>
      <c r="B34" s="2" t="inlineStr">
        <is>
          <t>Slot Change</t>
        </is>
      </c>
      <c r="C34" s="2" t="inlineStr">
        <is>
          <t>Buyer</t>
        </is>
      </c>
      <c r="D34" s="2" t="inlineStr">
        <is>
          <t>Slot form defaults to current delivery</t>
        </is>
      </c>
      <c r="E34" s="2" t="inlineStr">
        <is>
          <t>Verify the slot form shows the order's current delivery.</t>
        </is>
      </c>
      <c r="F34" s="2" t="inlineStr">
        <is>
          <t>Positive</t>
        </is>
      </c>
      <c r="G34" s="2" t="inlineStr">
        <is>
          <t>Order delivery 2026-10-15 08:00-11:00</t>
        </is>
      </c>
      <c r="H34" s="2" t="inlineStr">
        <is>
          <t>1. View order</t>
        </is>
      </c>
      <c r="I34" s="2" t="inlineStr">
        <is>
          <t>-</t>
        </is>
      </c>
      <c r="J34" s="2" t="inlineStr">
        <is>
          <t>The Change slot form should be pre-filled with the order's current delivery date and slot.</t>
        </is>
      </c>
      <c r="K34" s="2" t="inlineStr">
        <is>
          <t>Form shows today's date (14/10/2026) instead of the order's delivery date (15/10/2026).</t>
        </is>
      </c>
      <c r="L34" s="2" t="inlineStr">
        <is>
          <t>QA - http://13.200.185.1/c/purushoth-kumar-efaa03 | Chrome, macOS</t>
        </is>
      </c>
      <c r="M34" s="16" t="inlineStr">
        <is>
          <t>Fail</t>
        </is>
      </c>
      <c r="N34" s="16" t="inlineStr">
        <is>
          <t>Low</t>
        </is>
      </c>
      <c r="O34" s="2" t="inlineStr">
        <is>
          <t>DEF-008</t>
        </is>
      </c>
      <c r="P34" s="13" t="n"/>
    </row>
    <row r="35">
      <c r="A35" s="2" t="inlineStr">
        <is>
          <t>TC-09-01</t>
        </is>
      </c>
      <c r="B35" s="2" t="inlineStr">
        <is>
          <t>Redelivery</t>
        </is>
      </c>
      <c r="C35" s="2" t="inlineStr">
        <is>
          <t>Buyer</t>
        </is>
      </c>
      <c r="D35" s="2" t="inlineStr">
        <is>
          <t>Request redelivery after failed delivery (BR-14)</t>
        </is>
      </c>
      <c r="E35" s="2" t="inlineStr">
        <is>
          <t>Verify a buyer can request redelivery after a failed delivery.</t>
        </is>
      </c>
      <c r="F35" s="2" t="inlineStr">
        <is>
          <t>Positive</t>
        </is>
      </c>
      <c r="G35" s="2" t="inlineStr">
        <is>
          <t>Seller marked order 'delivery failed'</t>
        </is>
      </c>
      <c r="H35" s="2" t="inlineStr">
        <is>
          <t>1. Buyer views order
2. Choose new valid slot
3. Request redelivery</t>
        </is>
      </c>
      <c r="I35" s="2" t="inlineStr">
        <is>
          <t>WC-01011-1 is now 'delivery_failed' (seller1 marked Fail)</t>
        </is>
      </c>
      <c r="J35" s="2" t="inlineStr">
        <is>
          <t>The new slot should be saved and the status should change to 'redelivery requested'. The order should appear in the logistics export.</t>
        </is>
      </c>
      <c r="K35" s="2" t="inlineStr">
        <is>
          <t>For WC-01011-1, the new slot was saved and the status changed to 'redelivery requested'.</t>
        </is>
      </c>
      <c r="L35" s="2" t="inlineStr">
        <is>
          <t>QA - http://13.200.185.1/c/purushoth-kumar-efaa03 | Chrome, macOS</t>
        </is>
      </c>
      <c r="M35" s="12" t="inlineStr">
        <is>
          <t>Pass</t>
        </is>
      </c>
      <c r="N35" s="12" t="inlineStr">
        <is>
          <t>High</t>
        </is>
      </c>
      <c r="O35" s="2" t="n"/>
      <c r="P35" s="15" t="n"/>
    </row>
    <row r="36">
      <c r="A36" s="2" t="inlineStr">
        <is>
          <t>TC-10-01</t>
        </is>
      </c>
      <c r="B36" s="2" t="inlineStr">
        <is>
          <t>Reorder</t>
        </is>
      </c>
      <c r="C36" s="2" t="inlineStr">
        <is>
          <t>Buyer</t>
        </is>
      </c>
      <c r="D36" s="2" t="inlineStr">
        <is>
          <t>Reorder adds every line with the original quantity (BR-16)</t>
        </is>
      </c>
      <c r="E36" s="2" t="inlineStr">
        <is>
          <t>Verify Reorder adds all lines with original quantities.</t>
        </is>
      </c>
      <c r="F36" s="2" t="inlineStr">
        <is>
          <t>Positive</t>
        </is>
      </c>
      <c r="G36" s="2" t="inlineStr">
        <is>
          <t>Cart empty; past orders delivered/placed</t>
        </is>
      </c>
      <c r="H36" s="2" t="inlineStr">
        <is>
          <t>1. Orders &gt; Reorder on a past order
2. Open Cart</t>
        </is>
      </c>
      <c r="I36" s="2" t="inlineStr">
        <is>
          <t>buyer1: WC-01008-2 (Chef's Cardamom 2 cases). buyer2: WC-01021-1 (Basmati Rice 27 + Almond seeds 5), WC-01001-1 (Spice Basmati Rice 1, Daily Toor Dal 1, Royal Moong Dal 3), WC-01003-1 (Fresh Orange Juice 2, Farm Orange Juice 1, Chef's Cold Coffee 2)</t>
        </is>
      </c>
      <c r="J36" s="2" t="inlineStr">
        <is>
          <t>Every line of the past order should be added to the cart with the same quantity as the original order.</t>
        </is>
      </c>
      <c r="K36" s="2" t="inlineStr">
        <is>
          <t>Quantities are correct, but the last line of the order is missing from the cart (Almond seeds, Royal Moong Dal, Chef's Cold Coffee).</t>
        </is>
      </c>
      <c r="L36" s="2" t="inlineStr">
        <is>
          <t>QA - http://13.200.185.1/c/purushoth-kumar-efaa03 | Chrome, macOS</t>
        </is>
      </c>
      <c r="M36" s="16" t="inlineStr">
        <is>
          <t>Fail</t>
        </is>
      </c>
      <c r="N36" s="16" t="inlineStr">
        <is>
          <t>High</t>
        </is>
      </c>
      <c r="O36" s="2" t="inlineStr">
        <is>
          <t>DEF-015</t>
        </is>
      </c>
      <c r="P36" s="19" t="n"/>
      <c r="Q36" s="19" t="n"/>
      <c r="R36" s="19" t="n"/>
      <c r="S36" s="19" t="n"/>
      <c r="T36" s="19" t="n"/>
      <c r="U36" s="19" t="n"/>
      <c r="V36" s="19" t="n"/>
    </row>
    <row r="37">
      <c r="A37" s="2" t="inlineStr">
        <is>
          <t>TC-10-02</t>
        </is>
      </c>
      <c r="B37" s="2" t="inlineStr">
        <is>
          <t>Reorder</t>
        </is>
      </c>
      <c r="C37" s="2" t="inlineStr">
        <is>
          <t>Buyer</t>
        </is>
      </c>
      <c r="D37" s="2" t="inlineStr">
        <is>
          <t>Reorder a multi-line order</t>
        </is>
      </c>
      <c r="E37" s="2" t="inlineStr">
        <is>
          <t>Verify Reorder of an order with several lines.</t>
        </is>
      </c>
      <c r="F37" s="2" t="inlineStr">
        <is>
          <t>Positive</t>
        </is>
      </c>
      <c r="G37" s="2" t="inlineStr">
        <is>
          <t>Cart has Cardamom</t>
        </is>
      </c>
      <c r="H37" s="2" t="inlineStr">
        <is>
          <t>1. Reorder WC-01008-1</t>
        </is>
      </c>
      <c r="I37" s="2" t="inlineStr">
        <is>
          <t>Butter case x1, Banana Chips case x1</t>
        </is>
      </c>
      <c r="J37" s="2" t="inlineStr">
        <is>
          <t>All lines of the order should be added to the cart. Existing cart lines should be kept, and the message should show the correct number of items added.</t>
        </is>
      </c>
      <c r="K37" s="2" t="inlineStr">
        <is>
          <t>WC-01001-1 and WC-01003-1 each had 3 lines; Reorder added only 2. The last line was missing.</t>
        </is>
      </c>
      <c r="L37" s="2" t="inlineStr">
        <is>
          <t>QA - http://13.200.185.1/c/purushoth-kumar-efaa03 | Chrome, macOS</t>
        </is>
      </c>
      <c r="M37" s="16" t="inlineStr">
        <is>
          <t>Fail</t>
        </is>
      </c>
      <c r="N37" s="16" t="inlineStr">
        <is>
          <t>High</t>
        </is>
      </c>
      <c r="O37" s="2" t="inlineStr">
        <is>
          <t>DEF-015</t>
        </is>
      </c>
      <c r="P37" s="19" t="n"/>
      <c r="Q37" s="19" t="n"/>
      <c r="R37" s="19" t="n"/>
      <c r="S37" s="19" t="n"/>
      <c r="T37" s="19" t="n"/>
      <c r="U37" s="19" t="n"/>
      <c r="V37" s="19" t="n"/>
    </row>
    <row r="38">
      <c r="A38" s="2" t="inlineStr">
        <is>
          <t>TC-11-01</t>
        </is>
      </c>
      <c r="B38" s="2" t="inlineStr">
        <is>
          <t>Refunds &amp; Exchanges</t>
        </is>
      </c>
      <c r="C38" s="2" t="inlineStr">
        <is>
          <t>Buyer</t>
        </is>
      </c>
      <c r="D38" s="2" t="inlineStr">
        <is>
          <t>Refund/exchange only for delivered orders (BR-17)</t>
        </is>
      </c>
      <c r="E38" s="2" t="inlineStr">
        <is>
          <t>Verify refunds and exchanges are allowed only for delivered orders.</t>
        </is>
      </c>
      <c r="F38" s="2" t="inlineStr">
        <is>
          <t>Negative</t>
        </is>
      </c>
      <c r="G38" s="2" t="inlineStr">
        <is>
          <t>Orders placed, shipped, cancelled</t>
        </is>
      </c>
      <c r="H38" s="2" t="inlineStr">
        <is>
          <t>1. Try Send request on each</t>
        </is>
      </c>
      <c r="I38" s="2" t="inlineStr">
        <is>
          <t>-</t>
        </is>
      </c>
      <c r="J38" s="2" t="inlineStr">
        <is>
          <t>Refund and exchange should only be possible for delivered orders. For placed, shipped and cancelled orders the form should be hidden or the request rejected.</t>
        </is>
      </c>
      <c r="K38" s="2" t="inlineStr">
        <is>
          <t>Refund/exchange form is shown on placed and cancelled orders.</t>
        </is>
      </c>
      <c r="L38" s="2" t="inlineStr">
        <is>
          <t>QA - http://13.200.185.1/c/purushoth-kumar-efaa03 | Chrome, macOS</t>
        </is>
      </c>
      <c r="M38" s="16" t="inlineStr">
        <is>
          <t>Fail</t>
        </is>
      </c>
      <c r="N38" s="16" t="inlineStr">
        <is>
          <t>High</t>
        </is>
      </c>
      <c r="O38" s="2" t="inlineStr">
        <is>
          <t>DEF-005</t>
        </is>
      </c>
      <c r="P38" s="13" t="n"/>
    </row>
    <row r="39">
      <c r="A39" s="2" t="inlineStr">
        <is>
          <t>TC-11-02</t>
        </is>
      </c>
      <c r="B39" s="2" t="inlineStr">
        <is>
          <t>Refunds &amp; Exchanges</t>
        </is>
      </c>
      <c r="C39" s="2" t="inlineStr">
        <is>
          <t>Buyer, Seller</t>
        </is>
      </c>
      <c r="D39" s="2" t="inlineStr">
        <is>
          <t>Partial refund amount includes tax on refunded qty (BR-18)</t>
        </is>
      </c>
      <c r="E39" s="2" t="inlineStr">
        <is>
          <t>Verify the partial refund amount includes tax.</t>
        </is>
      </c>
      <c r="F39" s="2" t="inlineStr">
        <is>
          <t>Positive</t>
        </is>
      </c>
      <c r="G39" s="2" t="inlineStr">
        <is>
          <t>Delivered order, Banana Chips case x2</t>
        </is>
      </c>
      <c r="H39" s="2" t="inlineStr">
        <is>
          <t>1. Partial refund 1 case
2. Seller approves</t>
        </is>
      </c>
      <c r="I39" s="2" t="inlineStr">
        <is>
          <t>WC-01007-1 (delivered): refund 1 case Chef's Banana Chips ₹982.56 @18%</t>
        </is>
      </c>
      <c r="J39" s="2" t="inlineStr">
        <is>
          <t>Refund for 1 case of Banana Chips should be ₹982.56 + ₹176.86 tax = ₹1,159.42.</t>
        </is>
      </c>
      <c r="K39" s="2" t="inlineStr">
        <is>
          <t>For WC-01007-1, the refund for 1 case of Chef's Banana Chips was ₹1,159.42 (₹982.56 + ₹176.86 tax).</t>
        </is>
      </c>
      <c r="L39" s="2" t="inlineStr">
        <is>
          <t>QA - http://13.200.185.1/c/purushoth-kumar-efaa03 | Chrome, macOS</t>
        </is>
      </c>
      <c r="M39" s="12" t="inlineStr">
        <is>
          <t>Pass</t>
        </is>
      </c>
      <c r="N39" s="12" t="inlineStr">
        <is>
          <t>High</t>
        </is>
      </c>
      <c r="O39" s="2" t="n"/>
      <c r="P39" s="15" t="n"/>
    </row>
    <row r="40">
      <c r="A40" s="2" t="inlineStr">
        <is>
          <t>TC-11-03</t>
        </is>
      </c>
      <c r="B40" s="2" t="inlineStr">
        <is>
          <t>Refunds &amp; Exchanges</t>
        </is>
      </c>
      <c r="C40" s="2" t="inlineStr">
        <is>
          <t>Buyer, Seller</t>
        </is>
      </c>
      <c r="D40" s="2" t="inlineStr">
        <is>
          <t>Total refunded/exchanged per line never exceeds ordered qty</t>
        </is>
      </c>
      <c r="E40" s="2" t="inlineStr">
        <is>
          <t>Verify refunds cannot exceed the ordered quantity.</t>
        </is>
      </c>
      <c r="F40" s="2" t="inlineStr">
        <is>
          <t>Boundary</t>
        </is>
      </c>
      <c r="G40" s="2" t="inlineStr">
        <is>
          <t>Delivered line qty 2</t>
        </is>
      </c>
      <c r="H40" s="2" t="inlineStr">
        <is>
          <t>1. Partial refund 1
2. Exchange 1
3. Try another refund of 1</t>
        </is>
      </c>
      <c r="I40" s="2" t="inlineStr">
        <is>
          <t>qty 2</t>
        </is>
      </c>
      <c r="J40" s="2" t="inlineStr">
        <is>
          <t>Requests should be accepted until the ordered quantity is used up. Any request beyond it should be rejected.</t>
        </is>
      </c>
      <c r="K40" s="2" t="inlineStr">
        <is>
          <t>For a line with quantity 2, requests were accepted up to 2. A further request was rejected.</t>
        </is>
      </c>
      <c r="L40" s="2" t="inlineStr">
        <is>
          <t>QA - http://13.200.185.1/c/purushoth-kumar-efaa03 | Chrome, macOS</t>
        </is>
      </c>
      <c r="M40" s="12" t="inlineStr">
        <is>
          <t>Pass</t>
        </is>
      </c>
      <c r="N40" s="12" t="inlineStr">
        <is>
          <t>High</t>
        </is>
      </c>
      <c r="O40" s="2" t="n"/>
      <c r="P40" s="13" t="n"/>
    </row>
    <row r="41">
      <c r="A41" s="2" t="inlineStr">
        <is>
          <t>TC-12-01</t>
        </is>
      </c>
      <c r="B41" s="2" t="inlineStr">
        <is>
          <t>Invoices</t>
        </is>
      </c>
      <c r="C41" s="2" t="inlineStr">
        <is>
          <t>Buyer</t>
        </is>
      </c>
      <c r="D41" s="2" t="inlineStr">
        <is>
          <t>Invoice lines, tax by rate, delivery line and total = order total</t>
        </is>
      </c>
      <c r="E41" s="2" t="inlineStr">
        <is>
          <t>Verify invoice content and total.</t>
        </is>
      </c>
      <c r="F41" s="2" t="inlineStr">
        <is>
          <t>Positive</t>
        </is>
      </c>
      <c r="G41" s="2" t="inlineStr">
        <is>
          <t>Logged in as buyer1; a delivered order with a delivery fee (seller net below ₹3,000)</t>
        </is>
      </c>
      <c r="H41" s="2" t="inlineStr">
        <is>
          <t>1. Orders &gt; View WC-01040-1
2. Click Invoice
3. Check seller and buyer details, lines, tax by rate, delivery fee line and total</t>
        </is>
      </c>
      <c r="I41" s="2" t="inlineStr">
        <is>
          <t>INV-00045 / WC-01040-1: Chef's Coconut 1 case, net ₹2,240.00, tax 5% ₹112.00, delivery fee ₹118.00, total ₹2,470.00</t>
        </is>
      </c>
      <c r="J41" s="2" t="inlineStr">
        <is>
          <t>Invoice should show seller and buyer details, every line, tax by rate, the delivery fee as its own line, and a total equal to the order total.</t>
        </is>
      </c>
      <c r="K41" s="2" t="inlineStr">
        <is>
          <t>Invoice INV-00045 (WC-01040-1) has no delivery fee line and no seller GSTIN. The Total ₹2,470.00 is shown in very faint text and is hard to read.</t>
        </is>
      </c>
      <c r="L41" s="2" t="inlineStr">
        <is>
          <t>QA - http://13.200.185.1/c/purushoth-kumar-efaa03 | Chrome, macOS</t>
        </is>
      </c>
      <c r="M41" s="16" t="inlineStr">
        <is>
          <t>Fail</t>
        </is>
      </c>
      <c r="N41" s="16" t="inlineStr">
        <is>
          <t>High</t>
        </is>
      </c>
      <c r="O41" s="2" t="inlineStr">
        <is>
          <t>DEF-022, DEF-024</t>
        </is>
      </c>
      <c r="P41" s="15" t="n"/>
    </row>
    <row r="42">
      <c r="A42" s="2" t="inlineStr">
        <is>
          <t>TC-13-01</t>
        </is>
      </c>
      <c r="B42" s="2" t="inlineStr">
        <is>
          <t>Monthly Statements</t>
        </is>
      </c>
      <c r="C42" s="2" t="inlineStr">
        <is>
          <t>Buyer</t>
        </is>
      </c>
      <c r="D42" s="2" t="inlineStr">
        <is>
          <t>Statement lists only orders delivered in the month (BR-20)</t>
        </is>
      </c>
      <c r="E42" s="2" t="inlineStr">
        <is>
          <t>Verify the statement lists only delivered orders.</t>
        </is>
      </c>
      <c r="F42" s="2" t="inlineStr">
        <is>
          <t>Positive</t>
        </is>
      </c>
      <c r="G42" s="2" t="inlineStr">
        <is>
          <t>Placed, cancelled and delivered orders in Oct 2026</t>
        </is>
      </c>
      <c r="H42" s="2" t="inlineStr">
        <is>
          <t>1. Statements &gt; October 2026 &gt; Show</t>
        </is>
      </c>
      <c r="I42" s="2" t="inlineStr">
        <is>
          <t>October 2026 statement; WC-01008-1 (cancelled, ₹2,004.82)</t>
        </is>
      </c>
      <c r="J42" s="2" t="inlineStr">
        <is>
          <t>Only orders delivered in that month should be listed. Amount due should equal their total minus approved refunds.</t>
        </is>
      </c>
      <c r="K42" s="2" t="inlineStr">
        <is>
          <t>The October statement lists cancelled order WC-01008-1 (₹2,004.82), so it does not list only delivered orders.</t>
        </is>
      </c>
      <c r="L42" s="2" t="inlineStr">
        <is>
          <t>QA - http://13.200.185.1/c/purushoth-kumar-efaa03 | Chrome, macOS</t>
        </is>
      </c>
      <c r="M42" s="12" t="inlineStr">
        <is>
          <t>Fail</t>
        </is>
      </c>
      <c r="N42" s="12" t="inlineStr">
        <is>
          <t>High</t>
        </is>
      </c>
      <c r="O42" s="2" t="inlineStr">
        <is>
          <t>DEF-001</t>
        </is>
      </c>
      <c r="P42" s="13" t="n"/>
    </row>
    <row r="43">
      <c r="A43" s="2" t="inlineStr">
        <is>
          <t>TC-13-02</t>
        </is>
      </c>
      <c r="B43" s="2" t="inlineStr">
        <is>
          <t>Monthly Statements</t>
        </is>
      </c>
      <c r="C43" s="2" t="inlineStr">
        <is>
          <t>Buyer</t>
        </is>
      </c>
      <c r="D43" s="2" t="inlineStr">
        <is>
          <t>Cancelled orders excluded from statement (BR-20)</t>
        </is>
      </c>
      <c r="E43" s="2" t="inlineStr">
        <is>
          <t>Verify cancelled orders are not on the statement.</t>
        </is>
      </c>
      <c r="F43" s="2" t="inlineStr">
        <is>
          <t>Negative</t>
        </is>
      </c>
      <c r="G43" s="2" t="inlineStr">
        <is>
          <t>WC-01008-1 cancelled, never delivered</t>
        </is>
      </c>
      <c r="H43" s="2" t="inlineStr">
        <is>
          <t>1. Statements &gt; October 2026 &gt; Show</t>
        </is>
      </c>
      <c r="I43" s="2" t="inlineStr">
        <is>
          <t>WC-01008-1 ₹2,004.82</t>
        </is>
      </c>
      <c r="J43" s="2" t="inlineStr">
        <is>
          <t>Cancelled order WC-01008-1 should not be listed. Orders total and Amount due should be ₹0.00.</t>
        </is>
      </c>
      <c r="K43" s="2" t="inlineStr">
        <is>
          <t>Cancelled order WC-01008-1 is on the statement and ₹2,004.82 is added to Amount due.</t>
        </is>
      </c>
      <c r="L43" s="2" t="inlineStr">
        <is>
          <t>QA - http://13.200.185.1/c/purushoth-kumar-efaa03 | Chrome, macOS</t>
        </is>
      </c>
      <c r="M43" s="16" t="inlineStr">
        <is>
          <t>Fail</t>
        </is>
      </c>
      <c r="N43" s="16" t="inlineStr">
        <is>
          <t>High</t>
        </is>
      </c>
      <c r="O43" s="2" t="inlineStr">
        <is>
          <t>DEF-001</t>
        </is>
      </c>
      <c r="P43" s="15" t="n"/>
    </row>
    <row r="44">
      <c r="A44" s="2" t="inlineStr">
        <is>
          <t>TC-13-03</t>
        </is>
      </c>
      <c r="B44" s="2" t="inlineStr">
        <is>
          <t>Monthly Statements</t>
        </is>
      </c>
      <c r="C44" s="2" t="inlineStr">
        <is>
          <t>Buyer, Seller</t>
        </is>
      </c>
      <c r="D44" s="2" t="inlineStr">
        <is>
          <t>Approved refunds deducted; rejected/pending not deducted</t>
        </is>
      </c>
      <c r="E44" s="2" t="inlineStr">
        <is>
          <t>Verify only approved refunds reduce the statement.</t>
        </is>
      </c>
      <c r="F44" s="2" t="inlineStr">
        <is>
          <t>Positive</t>
        </is>
      </c>
      <c r="G44" s="2" t="inlineStr">
        <is>
          <t>Delivered order with 1 approved and 1 rejected refund</t>
        </is>
      </c>
      <c r="H44" s="2" t="inlineStr">
        <is>
          <t>1. Show statement</t>
        </is>
      </c>
      <c r="I44" s="2" t="inlineStr">
        <is>
          <t>-</t>
        </is>
      </c>
      <c r="J44" s="2" t="inlineStr">
        <is>
          <t>Only approved refunds should be deducted. Rejected and pending requests should not change the Amount due.</t>
        </is>
      </c>
      <c r="K44" s="2" t="inlineStr">
        <is>
          <t>Only approved refunds were deducted. Rejected and pending requests did not change the Amount due.</t>
        </is>
      </c>
      <c r="L44" s="2" t="inlineStr">
        <is>
          <t>QA - http://13.200.185.1/c/purushoth-kumar-efaa03 | Chrome, macOS</t>
        </is>
      </c>
      <c r="M44" s="12" t="inlineStr">
        <is>
          <t>Pass</t>
        </is>
      </c>
      <c r="N44" s="12" t="inlineStr">
        <is>
          <t>High</t>
        </is>
      </c>
      <c r="O44" s="2" t="n"/>
      <c r="P44" s="13" t="n"/>
    </row>
    <row r="45">
      <c r="A45" s="2" t="inlineStr">
        <is>
          <t>TC-14-01</t>
        </is>
      </c>
      <c r="B45" s="2" t="inlineStr">
        <is>
          <t>Inquiries</t>
        </is>
      </c>
      <c r="C45" s="2" t="inlineStr">
        <is>
          <t>Buyer</t>
        </is>
      </c>
      <c r="D45" s="2" t="inlineStr">
        <is>
          <t>Buyer sends inquiry about an order</t>
        </is>
      </c>
      <c r="E45" s="2" t="inlineStr">
        <is>
          <t>Verify a buyer can message the seller about an order.</t>
        </is>
      </c>
      <c r="F45" s="2" t="inlineStr">
        <is>
          <t>Positive</t>
        </is>
      </c>
      <c r="G45" s="2" t="inlineStr">
        <is>
          <t>Order exists</t>
        </is>
      </c>
      <c r="H45" s="2" t="inlineStr">
        <is>
          <t>1. Orders &gt; Message seller
2. Type and send</t>
        </is>
      </c>
      <c r="I45" s="2" t="inlineStr">
        <is>
          <t>WC-01023-1 (WholeCart Direct, cancelled) and any other order in Order history; message 'Please deliver before 10am'</t>
        </is>
      </c>
      <c r="J45" s="2" t="inlineStr">
        <is>
          <t>Clicking 'Message seller' should open a message form. The message should be sent and the seller of that order should receive it.</t>
        </is>
      </c>
      <c r="K45" s="2" t="inlineStr">
        <is>
          <t>Clicking 'Message seller' does nothing. No form opens.</t>
        </is>
      </c>
      <c r="L45" s="2" t="inlineStr">
        <is>
          <t>QA - http://13.200.185.1/c/purushoth-kumar-efaa03 | Chrome, macOS</t>
        </is>
      </c>
      <c r="M45" s="16" t="inlineStr">
        <is>
          <t>Fail</t>
        </is>
      </c>
      <c r="N45" s="16" t="inlineStr">
        <is>
          <t>Medium</t>
        </is>
      </c>
      <c r="O45" s="2" t="inlineStr">
        <is>
          <t>DEF-014</t>
        </is>
      </c>
      <c r="P45" s="18" t="n"/>
      <c r="Q45" s="18" t="n"/>
      <c r="R45" s="18" t="n"/>
      <c r="S45" s="18" t="n"/>
      <c r="T45" s="18" t="n"/>
      <c r="U45" s="18" t="n"/>
      <c r="V45" s="18" t="n"/>
    </row>
    <row r="46">
      <c r="A46" s="2" t="inlineStr">
        <is>
          <t>TC-15-01</t>
        </is>
      </c>
      <c r="B46" s="2" t="inlineStr">
        <is>
          <t>Seller - Orders</t>
        </is>
      </c>
      <c r="C46" s="2" t="inlineStr">
        <is>
          <t>Seller</t>
        </is>
      </c>
      <c r="D46" s="2" t="inlineStr">
        <is>
          <t>Seller sees only own sub-orders</t>
        </is>
      </c>
      <c r="E46" s="2" t="inlineStr">
        <is>
          <t>Verify a seller sees only their own orders.</t>
        </is>
      </c>
      <c r="F46" s="2" t="inlineStr">
        <is>
          <t>Positive</t>
        </is>
      </c>
      <c r="G46" s="2" t="inlineStr">
        <is>
          <t>Checkout with seller1 and seller2 items</t>
        </is>
      </c>
      <c r="H46" s="2" t="inlineStr">
        <is>
          <t>1. seller2 opens Orders</t>
        </is>
      </c>
      <c r="I46" s="2" t="inlineStr">
        <is>
          <t>WC-01010 (seller1 sub-order -1, Coastal Beverages -2)</t>
        </is>
      </c>
      <c r="J46" s="2" t="inlineStr">
        <is>
          <t>Seller should see only their own sub-order (WC-01010-1) and not the other seller's (WC-01010-2).</t>
        </is>
      </c>
      <c r="K46" s="2" t="inlineStr">
        <is>
          <t>Seller sees only their own orders (WC-01010-1, not WC-01010-2).</t>
        </is>
      </c>
      <c r="L46" s="2" t="inlineStr">
        <is>
          <t>QA - http://13.200.185.1/c/purushoth-kumar-efaa03 | Chrome, macOS</t>
        </is>
      </c>
      <c r="M46" s="12" t="inlineStr">
        <is>
          <t>Pass</t>
        </is>
      </c>
      <c r="N46" s="12" t="inlineStr">
        <is>
          <t>High</t>
        </is>
      </c>
      <c r="O46" s="2" t="n"/>
      <c r="P46" s="15" t="n"/>
    </row>
    <row r="47">
      <c r="A47" s="2" t="inlineStr">
        <is>
          <t>TC-15-02</t>
        </is>
      </c>
      <c r="B47" s="2" t="inlineStr">
        <is>
          <t>Seller - Orders</t>
        </is>
      </c>
      <c r="C47" s="2" t="inlineStr">
        <is>
          <t>Seller</t>
        </is>
      </c>
      <c r="D47" s="2" t="inlineStr">
        <is>
          <t>Only valid actions per status (BR-13)</t>
        </is>
      </c>
      <c r="E47" s="2" t="inlineStr">
        <is>
          <t>Verify seller actions match the order status.</t>
        </is>
      </c>
      <c r="F47" s="2" t="inlineStr">
        <is>
          <t>Positive</t>
        </is>
      </c>
      <c r="G47" s="2" t="inlineStr">
        <is>
          <t>Logged in as seller2 (FreshFarm Foods) / Test@123</t>
        </is>
      </c>
      <c r="H47" s="2" t="inlineStr">
        <is>
          <t>1. Check buttons for placed, accepted, shipped, delivery failed, redelivery requested, delivered, cancelled</t>
        </is>
      </c>
      <c r="I47" s="2" t="inlineStr">
        <is>
          <t>-</t>
        </is>
      </c>
      <c r="J47" s="2" t="inlineStr">
        <is>
          <t>Placed should show Accept and Cancel; accepted should show Ship and Cancel; shipped should show Deliver and Fail; redelivery requested should show Ship; delivered and cancelled should show none.</t>
        </is>
      </c>
      <c r="K47" s="2" t="inlineStr">
        <is>
          <t>Correct buttons for each status: placed (Accept, Cancel), accepted (Ship, Cancel), shipped (Deliver, Fail), delivered/cancelled (none).</t>
        </is>
      </c>
      <c r="L47" s="2" t="inlineStr">
        <is>
          <t>QA - http://13.200.185.1/c/purushoth-kumar-efaa03 | Chrome, macOS</t>
        </is>
      </c>
      <c r="M47" s="12" t="inlineStr">
        <is>
          <t>Pass</t>
        </is>
      </c>
      <c r="N47" s="12" t="inlineStr">
        <is>
          <t>High</t>
        </is>
      </c>
      <c r="O47" s="2" t="n"/>
      <c r="P47" s="13" t="n"/>
    </row>
    <row r="48">
      <c r="A48" s="2" t="inlineStr">
        <is>
          <t>TC-15-03</t>
        </is>
      </c>
      <c r="B48" s="2" t="inlineStr">
        <is>
          <t>Seller - Orders</t>
        </is>
      </c>
      <c r="C48" s="2" t="inlineStr">
        <is>
          <t>Seller</t>
        </is>
      </c>
      <c r="D48" s="2" t="inlineStr">
        <is>
          <t>Accept then ship then deliver</t>
        </is>
      </c>
      <c r="E48" s="2" t="inlineStr">
        <is>
          <t>Verify the seller order flow Accept, Ship, Deliver.</t>
        </is>
      </c>
      <c r="F48" s="2" t="inlineStr">
        <is>
          <t>Positive</t>
        </is>
      </c>
      <c r="G48" s="2" t="inlineStr">
        <is>
          <t>Logged in as seller2 (FreshFarm Foods) / Test@123</t>
        </is>
      </c>
      <c r="H48" s="2" t="inlineStr">
        <is>
          <t>1. Accept
2. Ship
3. Deliver</t>
        </is>
      </c>
      <c r="I48" s="2" t="inlineStr">
        <is>
          <t>WC-01007-1</t>
        </is>
      </c>
      <c r="J48" s="2" t="inlineStr">
        <is>
          <t>Status should change at each step and the buyer should see the same status. An invoice should be issued when the order is delivered.</t>
        </is>
      </c>
      <c r="K48" s="2" t="inlineStr">
        <is>
          <t>Order moved from accepted to shipped to delivered.</t>
        </is>
      </c>
      <c r="L48" s="2" t="inlineStr">
        <is>
          <t>QA - http://13.200.185.1/c/purushoth-kumar-efaa03 | Chrome, macOS</t>
        </is>
      </c>
      <c r="M48" s="12" t="inlineStr">
        <is>
          <t>Pass</t>
        </is>
      </c>
      <c r="N48" s="12" t="inlineStr">
        <is>
          <t>High</t>
        </is>
      </c>
      <c r="O48" s="2" t="n"/>
      <c r="P48" s="15" t="n"/>
    </row>
    <row r="49">
      <c r="A49" s="2" t="inlineStr">
        <is>
          <t>TC-15-04</t>
        </is>
      </c>
      <c r="B49" s="2" t="inlineStr">
        <is>
          <t>Seller - Orders</t>
        </is>
      </c>
      <c r="C49" s="2" t="inlineStr">
        <is>
          <t>Seller</t>
        </is>
      </c>
      <c r="D49" s="2" t="inlineStr">
        <is>
          <t>Seller order list Actions column aligned with rows</t>
        </is>
      </c>
      <c r="E49" s="2" t="inlineStr">
        <is>
          <t>Verify the seller Orders table is aligned in every column.</t>
        </is>
      </c>
      <c r="F49" s="2" t="inlineStr">
        <is>
          <t>Positive</t>
        </is>
      </c>
      <c r="G49" s="2" t="inlineStr">
        <is>
          <t>Logged in as seller1 (WholeCart Direct); orders in placed, accepted, delivered, cancelled and delivery_failed status</t>
        </is>
      </c>
      <c r="H49" s="2" t="inlineStr">
        <is>
          <t>1. Log in as seller1
2. Open Orders
3. Compare the Actions column with the other columns for rows with and without buttons</t>
        </is>
      </c>
      <c r="I49" s="2" t="inlineStr">
        <is>
          <t>seller1 Orders list: WC-01027-1 (delivered), WC-01026-1 (cancelled), WC-01025-1 (delivery_failed), WC-01028-1 (accepted)</t>
        </is>
      </c>
      <c r="J49" s="2" t="inlineStr">
        <is>
          <t>Every row should have the same height across all columns. Row lines in the Actions column should line up with the rest of the table, also for rows with no buttons.</t>
        </is>
      </c>
      <c r="K49" s="2" t="inlineStr">
        <is>
          <t>Rows with no buttons (delivered, cancelled, delivery_failed) are out of line in the Actions column; the row lines there do not match the other columns.</t>
        </is>
      </c>
      <c r="L49" s="2" t="inlineStr">
        <is>
          <t>QA - http://13.200.185.1/c/purushoth-kumar-efaa03 | Chrome, macOS</t>
        </is>
      </c>
      <c r="M49" s="16" t="inlineStr">
        <is>
          <t>Fail</t>
        </is>
      </c>
      <c r="N49" s="16" t="inlineStr">
        <is>
          <t>Low</t>
        </is>
      </c>
      <c r="O49" s="2" t="inlineStr">
        <is>
          <t>DEF-023</t>
        </is>
      </c>
      <c r="P49" s="19" t="n"/>
      <c r="Q49" s="19" t="n"/>
      <c r="R49" s="19" t="n"/>
      <c r="S49" s="19" t="n"/>
      <c r="T49" s="19" t="n"/>
      <c r="U49" s="19" t="n"/>
      <c r="V49" s="19" t="n"/>
    </row>
    <row r="50">
      <c r="A50" s="2" t="inlineStr">
        <is>
          <t>TC-16-01</t>
        </is>
      </c>
      <c r="B50" s="2" t="inlineStr">
        <is>
          <t>Seller - Products</t>
        </is>
      </c>
      <c r="C50" s="2" t="inlineStr">
        <is>
          <t>Seller</t>
        </is>
      </c>
      <c r="D50" s="2" t="inlineStr">
        <is>
          <t>Seller product list pagination stops at last page</t>
        </is>
      </c>
      <c r="E50" s="2" t="inlineStr">
        <is>
          <t>Verify product list paging stops at the last page.</t>
        </is>
      </c>
      <c r="F50" s="2" t="inlineStr">
        <is>
          <t>Negative</t>
        </is>
      </c>
      <c r="G50" s="2" t="inlineStr">
        <is>
          <t>Logged in as seller1 (WholeCart Direct)</t>
        </is>
      </c>
      <c r="H50" s="2" t="inlineStr">
        <is>
          <t>1. Products
2. Click Next until the last product (SKU-9005) is shown
3. Click Next again</t>
        </is>
      </c>
      <c r="I50" s="2" t="inlineStr">
        <is>
          <t>-</t>
        </is>
      </c>
      <c r="J50" s="2" t="inlineStr">
        <is>
          <t>Next should be hidden or disabled on the last page. An empty page should never be shown.</t>
        </is>
      </c>
      <c r="K50" s="2" t="inlineStr">
        <is>
          <t>Clicking Next on the last page opens an empty page.</t>
        </is>
      </c>
      <c r="L50" s="2" t="inlineStr">
        <is>
          <t>QA - http://13.200.185.1/c/purushoth-kumar-efaa03 | Chrome, macOS</t>
        </is>
      </c>
      <c r="M50" s="16" t="inlineStr">
        <is>
          <t>Fail</t>
        </is>
      </c>
      <c r="N50" s="16" t="inlineStr">
        <is>
          <t>Low</t>
        </is>
      </c>
      <c r="O50" s="2" t="inlineStr">
        <is>
          <t>DEF-012</t>
        </is>
      </c>
      <c r="P50" s="13" t="n"/>
    </row>
    <row r="51">
      <c r="A51" s="2" t="inlineStr">
        <is>
          <t>TC-17-01</t>
        </is>
      </c>
      <c r="B51" s="2" t="inlineStr">
        <is>
          <t>Seller - CSV Import</t>
        </is>
      </c>
      <c r="C51" s="2" t="inlineStr">
        <is>
          <t>Seller</t>
        </is>
      </c>
      <c r="D51" s="2" t="inlineStr">
        <is>
          <t>Import valid UTF-8 CSV creates/updates products by SKU (IF-01)</t>
        </is>
      </c>
      <c r="E51" s="2" t="inlineStr">
        <is>
          <t>Verify CSV import creates and updates products.</t>
        </is>
      </c>
      <c r="F51" s="2" t="inlineStr">
        <is>
          <t>Positive</t>
        </is>
      </c>
      <c r="G51" s="2" t="inlineStr">
        <is>
          <t>Logged in as seller2 (FreshFarm Foods) / Test@123</t>
        </is>
      </c>
      <c r="H51" s="2" t="inlineStr">
        <is>
          <t>1. Upload CSV with 2 new SKUs and 1 existing SKU</t>
        </is>
      </c>
      <c r="I51" s="2" t="inlineStr">
        <is>
          <t>Sample file edited: SKU-9001..9005 (Hill Basmati Rice 5.5kg, Classic Cold Coffee 200ml-&gt;400ml, Village Ghee 1L-&gt;10L, ...)</t>
        </is>
      </c>
      <c r="J51" s="2" t="inlineStr">
        <is>
          <t>New SKUs should be created and existing SKUs updated with no duplicates. Imported products should appear in the buyer catalogue.</t>
        </is>
      </c>
      <c r="K51" s="2" t="inlineStr">
        <is>
          <t>5 products imported with no errors. Re-import updated them without duplicates. Buyer could see and order them.</t>
        </is>
      </c>
      <c r="L51" s="2" t="inlineStr">
        <is>
          <t>QA - http://13.200.185.1/c/purushoth-kumar-efaa03 | Chrome, macOS</t>
        </is>
      </c>
      <c r="M51" s="12" t="inlineStr">
        <is>
          <t>Pass</t>
        </is>
      </c>
      <c r="N51" s="12" t="inlineStr">
        <is>
          <t>High</t>
        </is>
      </c>
      <c r="O51" s="2" t="n"/>
      <c r="P51" s="15" t="n"/>
    </row>
    <row r="52">
      <c r="A52" s="2" t="inlineStr">
        <is>
          <t>TC-17-02</t>
        </is>
      </c>
      <c r="B52" s="2" t="inlineStr">
        <is>
          <t>Seller - CSV Import</t>
        </is>
      </c>
      <c r="C52" s="2" t="inlineStr">
        <is>
          <t>Seller</t>
        </is>
      </c>
      <c r="D52" s="2" t="inlineStr">
        <is>
          <t>Each invalid row reported with line number and reason</t>
        </is>
      </c>
      <c r="E52" s="2" t="inlineStr">
        <is>
          <t>Verify CSV import reports invalid rows.</t>
        </is>
      </c>
      <c r="F52" s="2" t="inlineStr">
        <is>
          <t>Negative</t>
        </is>
      </c>
      <c r="G52" s="2" t="inlineStr">
        <is>
          <t>Logged in as seller1 (WholeCart Direct) / Test@123</t>
        </is>
      </c>
      <c r="H52" s="2" t="inlineStr">
        <is>
          <t>1. Products &gt; download the Sample file
2. Edit a row: stock -30 and category left blank
3. Upload the CSV
4. Check the import message and error list</t>
        </is>
      </c>
      <c r="I52" s="2" t="inlineStr">
        <is>
          <t>CSV rows SKU-910 Almond Oil and SKU-911 Almond powder: stock -30, category blank (one row per upload)</t>
        </is>
      </c>
      <c r="J52" s="2" t="inlineStr">
        <is>
          <t>Valid rows should be imported. Every invalid row should be reported with its line number and reason, and no row should be dropped silently.</t>
        </is>
      </c>
      <c r="K52" s="2" t="inlineStr">
        <is>
          <t>CSV rows with stock -30 and a blank category were accepted. The page showed 'Import complete: 1 rows, 0 errors' and no row error was reported.</t>
        </is>
      </c>
      <c r="L52" s="2" t="inlineStr">
        <is>
          <t>QA - http://13.200.185.1/c/purushoth-kumar-efaa03 | Chrome, macOS</t>
        </is>
      </c>
      <c r="M52" s="16" t="inlineStr">
        <is>
          <t>Fail</t>
        </is>
      </c>
      <c r="N52" s="16" t="inlineStr">
        <is>
          <t>High</t>
        </is>
      </c>
      <c r="O52" s="2" t="inlineStr">
        <is>
          <t>DEF-020</t>
        </is>
      </c>
      <c r="P52" s="13" t="n"/>
    </row>
    <row r="53">
      <c r="A53" s="2" t="inlineStr">
        <is>
          <t>TC-17-03</t>
        </is>
      </c>
      <c r="B53" s="2" t="inlineStr">
        <is>
          <t>Seller - CSV Import</t>
        </is>
      </c>
      <c r="C53" s="2" t="inlineStr">
        <is>
          <t>Seller</t>
        </is>
      </c>
      <c r="D53" s="2" t="inlineStr">
        <is>
          <t>Upload with no file chosen</t>
        </is>
      </c>
      <c r="E53" s="2" t="inlineStr">
        <is>
          <t>Verify Upload without a file shows a clear message.</t>
        </is>
      </c>
      <c r="F53" s="2" t="inlineStr">
        <is>
          <t>Negative</t>
        </is>
      </c>
      <c r="G53" s="2" t="inlineStr">
        <is>
          <t>Logged in as seller1</t>
        </is>
      </c>
      <c r="H53" s="2" t="inlineStr">
        <is>
          <t>1. Products
2. Do not choose a file
3. Click Upload</t>
        </is>
      </c>
      <c r="I53" s="2" t="inlineStr">
        <is>
          <t>-</t>
        </is>
      </c>
      <c r="J53" s="2" t="inlineStr">
        <is>
          <t>A message such as 'Please choose a CSV file' should be shown, and nothing should be imported.</t>
        </is>
      </c>
      <c r="K53" s="2" t="inlineStr">
        <is>
          <t>Shows 'CSV must have columns...' instead of asking to choose a file.</t>
        </is>
      </c>
      <c r="L53" s="2" t="inlineStr">
        <is>
          <t>QA - http://13.200.185.1/c/purushoth-kumar-efaa03 | Chrome, macOS</t>
        </is>
      </c>
      <c r="M53" s="16" t="inlineStr">
        <is>
          <t>Fail</t>
        </is>
      </c>
      <c r="N53" s="16" t="inlineStr">
        <is>
          <t>Low</t>
        </is>
      </c>
      <c r="O53" s="2" t="inlineStr">
        <is>
          <t>DEF-013</t>
        </is>
      </c>
      <c r="P53" s="15" t="n"/>
    </row>
    <row r="54">
      <c r="A54" s="2" t="inlineStr">
        <is>
          <t>TC-19-01</t>
        </is>
      </c>
      <c r="B54" s="2" t="inlineStr">
        <is>
          <t>Operator</t>
        </is>
      </c>
      <c r="C54" s="2" t="inlineStr">
        <is>
          <t>Operator</t>
        </is>
      </c>
      <c r="D54" s="2" t="inlineStr">
        <is>
          <t>Export contains accepted, shipped and redelivery-requested orders only (IF-02)</t>
        </is>
      </c>
      <c r="E54" s="2" t="inlineStr">
        <is>
          <t>Verify logistics export content and columns.</t>
        </is>
      </c>
      <c r="F54" s="2" t="inlineStr">
        <is>
          <t>Positive</t>
        </is>
      </c>
      <c r="G54" s="2" t="inlineStr">
        <is>
          <t>Logged in as operator / Test@123; orders exist in placed, accepted, delivered and cancelled status</t>
        </is>
      </c>
      <c r="H54" s="2" t="inlineStr">
        <is>
          <t>1. Logistics export &gt; Run export now
2. Open the downloaded CSV
3. Check the rows, column order and slot times</t>
        </is>
      </c>
      <c r="I54" s="2" t="inlineStr">
        <is>
          <t>Downloaded CSV: WC-01028-1 (accepted, delivery 15/10/2026 14:00-17:00, 2 pieces)</t>
        </is>
      </c>
      <c r="J54" s="2" t="inlineStr">
        <is>
          <t>The export should contain only accepted, shipped and redelivery-requested orders, with columns in the order given in IF-02.</t>
        </is>
      </c>
      <c r="K54" s="2" t="inlineStr">
        <is>
          <t>CSV downloads and runs every hour, and columns are in the right order. Only the accepted order WC-01028-1 is included. But its 14:00-17:00 slot is exported as slot_start 17:00 and slot_end 14:00 (swapped).</t>
        </is>
      </c>
      <c r="L54" s="2" t="inlineStr">
        <is>
          <t>QA - http://13.200.185.1/c/purushoth-kumar-efaa03 | Chrome, macOS</t>
        </is>
      </c>
      <c r="M54" s="16" t="inlineStr">
        <is>
          <t>Fail</t>
        </is>
      </c>
      <c r="N54" s="16" t="inlineStr">
        <is>
          <t>High</t>
        </is>
      </c>
      <c r="O54" s="2" t="inlineStr">
        <is>
          <t>DEF-021</t>
        </is>
      </c>
    </row>
    <row r="55">
      <c r="A55" s="2" t="inlineStr">
        <is>
          <t>TC-19-02</t>
        </is>
      </c>
      <c r="B55" s="2" t="inlineStr">
        <is>
          <t>Operator</t>
        </is>
      </c>
      <c r="C55" s="2" t="inlineStr">
        <is>
          <t>Operator</t>
        </is>
      </c>
      <c r="D55" s="2" t="inlineStr">
        <is>
          <t>Operator views and saves marketplace settings</t>
        </is>
      </c>
      <c r="E55" s="2" t="inlineStr">
        <is>
          <t>Verify the operator can save marketplace settings.</t>
        </is>
      </c>
      <c r="F55" s="2" t="inlineStr">
        <is>
          <t>Positive</t>
        </is>
      </c>
      <c r="G55" s="2" t="inlineStr">
        <is>
          <t>Logged in as operator / Test@123</t>
        </is>
      </c>
      <c r="H55" s="2" t="inlineStr">
        <is>
          <t>1. Open Settings
2. Note current values
3. Change Cancellation window 5 -&gt; 10 and Minimum order per seller 2000 -&gt; 1000
4. Save settings
5. Reload</t>
        </is>
      </c>
      <c r="I55" s="2" t="inlineStr">
        <is>
          <t>Defaults seen: cut-off 10:00, cancellation 5 min, 5 orders/slot, min order ₹2,000, free delivery from ₹3,000, fee ₹100, store clock Real time</t>
        </is>
      </c>
      <c r="J55" s="24" t="inlineStr">
        <is>
          <t>Settings saved' should be shown and the new values should remain after reload.</t>
        </is>
      </c>
      <c r="K55" s="2" t="inlineStr">
        <is>
          <t>Settings changed and saved; new values stay after reload.</t>
        </is>
      </c>
      <c r="L55" s="2" t="inlineStr">
        <is>
          <t>QA - http://13.200.185.1/c/purushoth-kumar-efaa03 | Chrome, macOS</t>
        </is>
      </c>
      <c r="M55" s="12" t="inlineStr">
        <is>
          <t>Pass</t>
        </is>
      </c>
      <c r="N55" s="12" t="inlineStr">
        <is>
          <t>High</t>
        </is>
      </c>
      <c r="O55" s="2" t="n"/>
    </row>
    <row r="56">
      <c r="A56" s="2" t="inlineStr">
        <is>
          <t>TC-19-03</t>
        </is>
      </c>
      <c r="B56" s="2" t="inlineStr">
        <is>
          <t>Operator</t>
        </is>
      </c>
      <c r="C56" s="2" t="inlineStr">
        <is>
          <t>Buyer, Operator</t>
        </is>
      </c>
      <c r="D56" s="2" t="inlineStr">
        <is>
          <t>Changed cancellation window applies to buyers immediately (BR-23)</t>
        </is>
      </c>
      <c r="E56" s="2" t="inlineStr">
        <is>
          <t>Verify a new cancellation window applies immediately.</t>
        </is>
      </c>
      <c r="F56" s="2" t="inlineStr">
        <is>
          <t>Positive</t>
        </is>
      </c>
      <c r="G56" s="2" t="inlineStr">
        <is>
          <t>Logged in as operator / Test@123; buyer1 has a placed order</t>
        </is>
      </c>
      <c r="H56" s="2" t="inlineStr">
        <is>
          <t>1. Operator sets Cancellation window 10
2. Without restart, buyer opens a placed order and clicks Cancel order
3. Place a new order and cancel it 7 minutes later</t>
        </is>
      </c>
      <c r="I56" s="2" t="inlineStr">
        <is>
          <t>WC-01017-1 placed 12:32:13 (buyer1); new order for step 3</t>
        </is>
      </c>
      <c r="J56" s="2" t="inlineStr">
        <is>
          <t>The new 10-minute window should apply straight away. An order 7 minutes old should be cancellable; one older than 10 minutes should be rejected.</t>
        </is>
      </c>
      <c r="K56" s="2" t="inlineStr">
        <is>
          <t>After changing the window to 10 minutes, the buyer's message changed to 'within 10 minutes' straight away.</t>
        </is>
      </c>
      <c r="L56" s="2" t="inlineStr">
        <is>
          <t>QA - http://13.200.185.1/c/purushoth-kumar-efaa03 | Chrome, macOS</t>
        </is>
      </c>
      <c r="M56" s="12" t="inlineStr">
        <is>
          <t>Pass</t>
        </is>
      </c>
      <c r="N56" s="12" t="inlineStr">
        <is>
          <t>High</t>
        </is>
      </c>
      <c r="O56" s="2" t="n"/>
    </row>
    <row r="57">
      <c r="A57" s="2" t="inlineStr">
        <is>
          <t>TC-19-04</t>
        </is>
      </c>
      <c r="B57" s="2" t="inlineStr">
        <is>
          <t>Operator</t>
        </is>
      </c>
      <c r="C57" s="2" t="inlineStr">
        <is>
          <t>Buyer, Operator</t>
        </is>
      </c>
      <c r="D57" s="2" t="inlineStr">
        <is>
          <t>Changed minimum order applies at checkout immediately (BR-04, BR-23)</t>
        </is>
      </c>
      <c r="E57" s="2" t="inlineStr">
        <is>
          <t>Verify a new minimum order applies immediately.</t>
        </is>
      </c>
      <c r="F57" s="2" t="inlineStr">
        <is>
          <t>Boundary</t>
        </is>
      </c>
      <c r="G57" s="2" t="inlineStr">
        <is>
          <t>Logged in as operator / Test@123</t>
        </is>
      </c>
      <c r="H57" s="2" t="inlineStr">
        <is>
          <t>1. Operator sets Minimum order per seller 1000
2. Buyer checks out seller net ₹999.99 -&gt; blocked
3. Buyer checks out seller net ₹1,000.00 -&gt; allowed</t>
        </is>
      </c>
      <c r="I57" s="2" t="inlineStr">
        <is>
          <t>Min order ₹1,000 (set at 13:22)</t>
        </is>
      </c>
      <c r="J57" s="2" t="inlineStr">
        <is>
          <t>With the minimum set to ₹1,000, ₹999.99 should be blocked and ₹1,000.00 should be allowed.</t>
        </is>
      </c>
      <c r="K57" s="2" t="inlineStr">
        <is>
          <t>With the minimum set to ₹1,000, ₹999.99 was blocked and ₹1,000.00 was allowed.</t>
        </is>
      </c>
      <c r="L57" s="2" t="inlineStr">
        <is>
          <t>QA - http://13.200.185.1/c/purushoth-kumar-efaa03 | Chrome, macOS</t>
        </is>
      </c>
      <c r="M57" s="12" t="inlineStr">
        <is>
          <t>Pass</t>
        </is>
      </c>
      <c r="N57" s="12" t="inlineStr">
        <is>
          <t>High</t>
        </is>
      </c>
      <c r="O57" s="2" t="n"/>
    </row>
    <row r="58">
      <c r="A58" s="2" t="inlineStr">
        <is>
          <t>TC-19-05</t>
        </is>
      </c>
      <c r="B58" s="2" t="inlineStr">
        <is>
          <t>Operator</t>
        </is>
      </c>
      <c r="C58" s="2" t="inlineStr">
        <is>
          <t>Buyer, Operator</t>
        </is>
      </c>
      <c r="D58" s="2" t="inlineStr">
        <is>
          <t>Pilot OPS-14: buyer3 gets free delivery until 31 Oct 2026</t>
        </is>
      </c>
      <c r="E58" s="2" t="inlineStr">
        <is>
          <t>Verify pilot OPS-14 free delivery for buyer3.</t>
        </is>
      </c>
      <c r="F58" s="2" t="inlineStr">
        <is>
          <t>Positive</t>
        </is>
      </c>
      <c r="G58" s="2" t="inlineStr">
        <is>
          <t>Logged in as operator / Test@123; banner 'Active pilot OPS-14' shown on Settings</t>
        </is>
      </c>
      <c r="H58" s="2" t="inlineStr">
        <is>
          <t>1. Log in as buyer3; checkout one seller with net &lt; ₹3,000
2. Log in as buyer1; same cart
3. Operator fixes store clock 2026-11-01 09:00; buyer3 checks out again
4. Reset clock to Real time</t>
        </is>
      </c>
      <c r="I58" s="2" t="inlineStr">
        <is>
          <t>buyer3 (शर्मा भोजनालय), buyer1; seller net e.g. ₹2,252.16</t>
        </is>
      </c>
      <c r="J58" s="2" t="inlineStr">
        <is>
          <t>buyer3 should pay ₹0.00 delivery until 31 Oct 2026; buyer1 should still pay ₹118.00. From 1 Nov 2026 buyer3 should pay ₹118.00.</t>
        </is>
      </c>
      <c r="K58" s="2" t="inlineStr">
        <is>
          <t>With seller net below ₹3,000, buyer3 paid ₹0.00 delivery fee and buyer1 paid ₹118.00.</t>
        </is>
      </c>
      <c r="L58" s="2" t="inlineStr">
        <is>
          <t>QA - http://13.200.185.1/c/purushoth-kumar-efaa03 | Chrome, macOS</t>
        </is>
      </c>
      <c r="M58" s="12" t="inlineStr">
        <is>
          <t>Pass</t>
        </is>
      </c>
      <c r="N58" s="12" t="inlineStr">
        <is>
          <t>High</t>
        </is>
      </c>
      <c r="O58" s="2" t="n"/>
    </row>
    <row r="59">
      <c r="A59" s="2" t="inlineStr">
        <is>
          <t>TC-19-06</t>
        </is>
      </c>
      <c r="B59" s="2" t="inlineStr">
        <is>
          <t>Operator</t>
        </is>
      </c>
      <c r="C59" s="2" t="inlineStr">
        <is>
          <t>Buyer, Operator</t>
        </is>
      </c>
      <c r="D59" s="2" t="inlineStr">
        <is>
          <t>Changed same-day cut-off applies at checkout immediately (BR-06, BR-23)</t>
        </is>
      </c>
      <c r="E59" s="2" t="inlineStr">
        <is>
          <t>Verify a new same-day cut-off time applies at checkout immediately.</t>
        </is>
      </c>
      <c r="F59" s="2" t="inlineStr">
        <is>
          <t>Positive</t>
        </is>
      </c>
      <c r="G59" s="2" t="inlineStr">
        <is>
          <t>Logged in as operator / Test@123 and as buyer1 (separate browser); buyer has items in cart</t>
        </is>
      </c>
      <c r="H59" s="2" t="inlineStr">
        <is>
          <t>1. Operator: Settings &gt; change 'Same-day cut-off time' from 10:00 to 18:00
2. Save settings
3. Buyer: open Checkout and choose today's date
4. Click Show slots and check the 14:00-17:00 and 17:00-20:00 slots</t>
        </is>
      </c>
      <c r="I59" s="2" t="inlineStr">
        <is>
          <t>Same-day cut-off time 18:00; delivery date 14/10/2026 (today)</t>
        </is>
      </c>
      <c r="J59" s="2" t="inlineStr">
        <is>
          <t>Checkout should use the new cut-off straight away. Before 18:00, today's 14:00-17:00 and 17:00-20:00 slots should be available, and any message should mention 18:00.</t>
        </is>
      </c>
      <c r="K59" s="2" t="inlineStr">
        <is>
          <t>After saving 18:00, today's 14:00-17:00 and 17:00-20:00 slots are still disabled with 'Same-day orders must be placed before 10:00'.</t>
        </is>
      </c>
      <c r="L59" s="2" t="inlineStr">
        <is>
          <t>QA - http://13.200.185.1/c/purushoth-kumar-efaa03 | Chrome, macOS</t>
        </is>
      </c>
      <c r="M59" s="12" t="inlineStr">
        <is>
          <t>Fail</t>
        </is>
      </c>
      <c r="N59" s="12" t="inlineStr">
        <is>
          <t>High</t>
        </is>
      </c>
      <c r="O59" s="2" t="inlineStr">
        <is>
          <t>DEF-019</t>
        </is>
      </c>
    </row>
    <row r="60">
      <c r="A60" s="9" t="n"/>
      <c r="B60" s="9" t="n"/>
      <c r="C60" s="9" t="n"/>
      <c r="D60" s="9" t="n"/>
      <c r="E60" s="9" t="n"/>
      <c r="F60" s="9" t="n"/>
      <c r="G60" s="9" t="n"/>
      <c r="H60" s="9" t="n"/>
      <c r="I60" s="9" t="n"/>
      <c r="J60" s="9" t="n"/>
      <c r="K60" s="9" t="n"/>
      <c r="L60" s="9" t="n"/>
      <c r="M60" s="21" t="n"/>
      <c r="N60" s="21" t="n"/>
      <c r="O60" s="9" t="n"/>
      <c r="P60" s="9" t="n"/>
    </row>
    <row r="61">
      <c r="A61" s="10" t="n"/>
      <c r="B61" s="10" t="n"/>
      <c r="C61" s="10" t="n"/>
      <c r="D61" s="10" t="n"/>
      <c r="E61" s="10" t="n"/>
      <c r="F61" s="10" t="n"/>
      <c r="G61" s="10" t="n"/>
      <c r="H61" s="10" t="n"/>
      <c r="I61" s="10" t="n"/>
      <c r="J61" s="10" t="n"/>
      <c r="K61" s="10" t="n"/>
      <c r="L61" s="10" t="n"/>
      <c r="M61" s="22" t="n"/>
      <c r="N61" s="22" t="n"/>
      <c r="O61" s="10" t="n"/>
      <c r="P61" s="10" t="n"/>
    </row>
    <row r="62">
      <c r="A62" s="9" t="n"/>
      <c r="B62" s="9" t="n"/>
      <c r="C62" s="9" t="n"/>
      <c r="D62" s="9" t="n"/>
      <c r="E62" s="9" t="n"/>
      <c r="F62" s="9" t="n"/>
      <c r="G62" s="9" t="n"/>
      <c r="H62" s="9" t="n"/>
      <c r="I62" s="9" t="n"/>
      <c r="J62" s="9" t="n"/>
      <c r="K62" s="9" t="n"/>
      <c r="L62" s="9" t="n"/>
      <c r="M62" s="21" t="n"/>
      <c r="N62" s="21" t="n"/>
      <c r="O62" s="9" t="n"/>
      <c r="P62" s="9" t="n"/>
    </row>
    <row r="63">
      <c r="A63" s="10" t="n"/>
      <c r="B63" s="10" t="n"/>
      <c r="C63" s="10" t="n"/>
      <c r="D63" s="10" t="n"/>
      <c r="E63" s="10" t="n"/>
      <c r="F63" s="10" t="n"/>
      <c r="G63" s="10" t="n"/>
      <c r="H63" s="10" t="n"/>
      <c r="I63" s="10" t="n"/>
      <c r="J63" s="10" t="n"/>
      <c r="K63" s="10" t="n"/>
      <c r="L63" s="10" t="n"/>
      <c r="M63" s="22" t="n"/>
      <c r="N63" s="22" t="n"/>
      <c r="O63" s="10" t="n"/>
      <c r="P63" s="10" t="n"/>
    </row>
    <row r="64">
      <c r="A64" s="9" t="n"/>
      <c r="B64" s="9" t="n"/>
      <c r="C64" s="9" t="n"/>
      <c r="D64" s="9" t="n"/>
      <c r="E64" s="9" t="n"/>
      <c r="F64" s="9" t="n"/>
      <c r="G64" s="9" t="n"/>
      <c r="H64" s="9" t="n"/>
      <c r="I64" s="9" t="n"/>
      <c r="J64" s="9" t="n"/>
      <c r="K64" s="9" t="n"/>
      <c r="L64" s="9" t="n"/>
      <c r="M64" s="21" t="n"/>
      <c r="N64" s="21" t="n"/>
      <c r="O64" s="9" t="n"/>
      <c r="P64" s="9" t="n"/>
    </row>
    <row r="65">
      <c r="A65" s="10" t="n"/>
      <c r="B65" s="10" t="n"/>
      <c r="C65" s="10" t="n"/>
      <c r="D65" s="10" t="n"/>
      <c r="E65" s="10" t="n"/>
      <c r="F65" s="10" t="n"/>
      <c r="G65" s="10" t="n"/>
      <c r="H65" s="10" t="n"/>
      <c r="I65" s="10" t="n"/>
      <c r="J65" s="10" t="n"/>
      <c r="K65" s="10" t="n"/>
      <c r="L65" s="10" t="n"/>
      <c r="M65" s="22" t="n"/>
      <c r="N65" s="22" t="n"/>
      <c r="O65" s="10" t="n"/>
      <c r="P65" s="10" t="n"/>
    </row>
    <row r="66">
      <c r="A66" s="9" t="n"/>
      <c r="B66" s="9" t="n"/>
      <c r="C66" s="9" t="n"/>
      <c r="D66" s="9" t="n"/>
      <c r="E66" s="9" t="n"/>
      <c r="F66" s="9" t="n"/>
      <c r="G66" s="9" t="n"/>
      <c r="H66" s="9" t="n"/>
      <c r="I66" s="9" t="n"/>
      <c r="J66" s="9" t="n"/>
      <c r="K66" s="9" t="n"/>
      <c r="L66" s="9" t="n"/>
      <c r="M66" s="21" t="n"/>
      <c r="N66" s="21" t="n"/>
      <c r="O66" s="9" t="n"/>
      <c r="P66" s="9" t="n"/>
    </row>
    <row r="67">
      <c r="A67" s="10" t="n"/>
      <c r="B67" s="10" t="n"/>
      <c r="C67" s="10" t="n"/>
      <c r="D67" s="10" t="n"/>
      <c r="E67" s="10" t="n"/>
      <c r="F67" s="10" t="n"/>
      <c r="G67" s="10" t="n"/>
      <c r="H67" s="10" t="n"/>
      <c r="I67" s="10" t="n"/>
      <c r="J67" s="10" t="n"/>
      <c r="K67" s="10" t="n"/>
      <c r="L67" s="10" t="n"/>
      <c r="M67" s="22" t="n"/>
      <c r="N67" s="22" t="n"/>
      <c r="O67" s="10" t="n"/>
      <c r="P67" s="10" t="n"/>
    </row>
    <row r="68">
      <c r="A68" s="9" t="n"/>
      <c r="B68" s="9" t="n"/>
      <c r="C68" s="9" t="n"/>
      <c r="D68" s="9" t="n"/>
      <c r="E68" s="9" t="n"/>
      <c r="F68" s="9" t="n"/>
      <c r="G68" s="9" t="n"/>
      <c r="H68" s="9" t="n"/>
      <c r="I68" s="9" t="n"/>
      <c r="J68" s="9" t="n"/>
      <c r="K68" s="9" t="n"/>
      <c r="L68" s="9" t="n"/>
      <c r="M68" s="21" t="n"/>
      <c r="N68" s="21" t="n"/>
      <c r="O68" s="9" t="n"/>
      <c r="P68" s="9" t="n"/>
    </row>
    <row r="69">
      <c r="A69" s="10" t="n"/>
      <c r="B69" s="10" t="n"/>
      <c r="C69" s="10" t="n"/>
      <c r="D69" s="10" t="n"/>
      <c r="E69" s="10" t="n"/>
      <c r="F69" s="10" t="n"/>
      <c r="G69" s="10" t="n"/>
      <c r="H69" s="10" t="n"/>
      <c r="I69" s="10" t="n"/>
      <c r="J69" s="10" t="n"/>
      <c r="K69" s="10" t="n"/>
      <c r="L69" s="10" t="n"/>
      <c r="M69" s="22" t="n"/>
      <c r="N69" s="22" t="n"/>
      <c r="O69" s="10" t="n"/>
      <c r="P69" s="10" t="n"/>
    </row>
    <row r="70">
      <c r="A70" s="9" t="n"/>
      <c r="B70" s="9" t="n"/>
      <c r="C70" s="9" t="n"/>
      <c r="D70" s="9" t="n"/>
      <c r="E70" s="9" t="n"/>
      <c r="F70" s="9" t="n"/>
      <c r="G70" s="9" t="n"/>
      <c r="H70" s="9" t="n"/>
      <c r="I70" s="9" t="n"/>
      <c r="J70" s="9" t="n"/>
      <c r="K70" s="9" t="n"/>
      <c r="L70" s="9" t="n"/>
      <c r="M70" s="21" t="n"/>
      <c r="N70" s="21" t="n"/>
      <c r="O70" s="9" t="n"/>
      <c r="P70" s="9" t="n"/>
    </row>
    <row r="71">
      <c r="A71" s="10" t="n"/>
      <c r="B71" s="10" t="n"/>
      <c r="C71" s="10" t="n"/>
      <c r="D71" s="10" t="n"/>
      <c r="E71" s="10" t="n"/>
      <c r="F71" s="10" t="n"/>
      <c r="G71" s="10" t="n"/>
      <c r="H71" s="10" t="n"/>
      <c r="I71" s="10" t="n"/>
      <c r="J71" s="10" t="n"/>
      <c r="K71" s="10" t="n"/>
      <c r="L71" s="10" t="n"/>
      <c r="M71" s="22" t="n"/>
      <c r="N71" s="22" t="n"/>
      <c r="O71" s="10" t="n"/>
      <c r="P71" s="10" t="n"/>
    </row>
    <row r="72">
      <c r="A72" s="9" t="n"/>
      <c r="B72" s="9" t="n"/>
      <c r="C72" s="9" t="n"/>
      <c r="D72" s="9" t="n"/>
      <c r="E72" s="9" t="n"/>
      <c r="F72" s="9" t="n"/>
      <c r="G72" s="9" t="n"/>
      <c r="H72" s="9" t="n"/>
      <c r="I72" s="9" t="n"/>
      <c r="J72" s="9" t="n"/>
      <c r="K72" s="9" t="n"/>
      <c r="L72" s="9" t="n"/>
      <c r="M72" s="21" t="n"/>
      <c r="N72" s="21" t="n"/>
      <c r="O72" s="9" t="n"/>
      <c r="P72" s="9" t="n"/>
    </row>
    <row r="73">
      <c r="A73" s="10" t="n"/>
      <c r="B73" s="10" t="n"/>
      <c r="C73" s="10" t="n"/>
      <c r="D73" s="10" t="n"/>
      <c r="E73" s="10" t="n"/>
      <c r="F73" s="10" t="n"/>
      <c r="G73" s="10" t="n"/>
      <c r="H73" s="10" t="n"/>
      <c r="I73" s="10" t="n"/>
      <c r="J73" s="10" t="n"/>
      <c r="K73" s="10" t="n"/>
      <c r="L73" s="10" t="n"/>
      <c r="M73" s="22" t="n"/>
      <c r="N73" s="22" t="n"/>
      <c r="O73" s="10" t="n"/>
      <c r="P73" s="10" t="n"/>
    </row>
    <row r="74">
      <c r="A74" s="9" t="n"/>
      <c r="B74" s="9" t="n"/>
      <c r="C74" s="9" t="n"/>
      <c r="D74" s="9" t="n"/>
      <c r="E74" s="9" t="n"/>
      <c r="F74" s="9" t="n"/>
      <c r="G74" s="9" t="n"/>
      <c r="H74" s="9" t="n"/>
      <c r="I74" s="9" t="n"/>
      <c r="J74" s="9" t="n"/>
      <c r="K74" s="9" t="n"/>
      <c r="L74" s="9" t="n"/>
      <c r="M74" s="21" t="n"/>
      <c r="N74" s="21" t="n"/>
      <c r="O74" s="9" t="n"/>
      <c r="P74" s="9" t="n"/>
    </row>
    <row r="75">
      <c r="A75" s="10" t="n"/>
      <c r="B75" s="10" t="n"/>
      <c r="C75" s="10" t="n"/>
      <c r="D75" s="10" t="n"/>
      <c r="E75" s="10" t="n"/>
      <c r="F75" s="10" t="n"/>
      <c r="G75" s="10" t="n"/>
      <c r="H75" s="10" t="n"/>
      <c r="I75" s="10" t="n"/>
      <c r="J75" s="10" t="n"/>
      <c r="K75" s="10" t="n"/>
      <c r="L75" s="10" t="n"/>
      <c r="M75" s="22" t="n"/>
      <c r="N75" s="22" t="n"/>
      <c r="O75" s="10" t="n"/>
      <c r="P75" s="10" t="n"/>
    </row>
    <row r="76">
      <c r="A76" s="9" t="n"/>
      <c r="B76" s="9" t="n"/>
      <c r="C76" s="9" t="n"/>
      <c r="D76" s="9" t="n"/>
      <c r="E76" s="9" t="n"/>
      <c r="F76" s="9" t="n"/>
      <c r="G76" s="9" t="n"/>
      <c r="H76" s="9" t="n"/>
      <c r="I76" s="9" t="n"/>
      <c r="J76" s="9" t="n"/>
      <c r="K76" s="9" t="n"/>
      <c r="L76" s="9" t="n"/>
      <c r="M76" s="21" t="n"/>
      <c r="N76" s="21" t="n"/>
      <c r="O76" s="9" t="n"/>
      <c r="P76" s="9" t="n"/>
    </row>
    <row r="77">
      <c r="A77" s="10" t="n"/>
      <c r="B77" s="10" t="n"/>
      <c r="C77" s="10" t="n"/>
      <c r="D77" s="10" t="n"/>
      <c r="E77" s="10" t="n"/>
      <c r="F77" s="10" t="n"/>
      <c r="G77" s="10" t="n"/>
      <c r="H77" s="10" t="n"/>
      <c r="I77" s="10" t="n"/>
      <c r="J77" s="10" t="n"/>
      <c r="K77" s="10" t="n"/>
      <c r="L77" s="10" t="n"/>
      <c r="M77" s="22" t="n"/>
      <c r="N77" s="22" t="n"/>
      <c r="O77" s="10" t="n"/>
      <c r="P77" s="10" t="n"/>
    </row>
    <row r="78">
      <c r="A78" s="9" t="n"/>
      <c r="B78" s="9" t="n"/>
      <c r="C78" s="9" t="n"/>
      <c r="D78" s="9" t="n"/>
      <c r="E78" s="9" t="n"/>
      <c r="F78" s="9" t="n"/>
      <c r="G78" s="9" t="n"/>
      <c r="H78" s="9" t="n"/>
      <c r="I78" s="9" t="n"/>
      <c r="J78" s="9" t="n"/>
      <c r="K78" s="9" t="n"/>
      <c r="L78" s="9" t="n"/>
      <c r="M78" s="21" t="n"/>
      <c r="N78" s="21" t="n"/>
      <c r="O78" s="9" t="n"/>
      <c r="P78" s="9" t="n"/>
    </row>
    <row r="79">
      <c r="A79" s="10" t="n"/>
      <c r="B79" s="10" t="n"/>
      <c r="C79" s="10" t="n"/>
      <c r="D79" s="10" t="n"/>
      <c r="E79" s="10" t="n"/>
      <c r="F79" s="10" t="n"/>
      <c r="G79" s="10" t="n"/>
      <c r="H79" s="10" t="n"/>
      <c r="I79" s="10" t="n"/>
      <c r="J79" s="10" t="n"/>
      <c r="K79" s="10" t="n"/>
      <c r="L79" s="10" t="n"/>
      <c r="M79" s="22" t="n"/>
      <c r="N79" s="22" t="n"/>
      <c r="O79" s="10" t="n"/>
      <c r="P79" s="10" t="n"/>
    </row>
    <row r="80">
      <c r="A80" s="9" t="n"/>
      <c r="B80" s="9" t="n"/>
      <c r="C80" s="9" t="n"/>
      <c r="D80" s="9" t="n"/>
      <c r="E80" s="9" t="n"/>
      <c r="F80" s="9" t="n"/>
      <c r="G80" s="9" t="n"/>
      <c r="H80" s="9" t="n"/>
      <c r="I80" s="9" t="n"/>
      <c r="J80" s="9" t="n"/>
      <c r="K80" s="9" t="n"/>
      <c r="L80" s="9" t="n"/>
      <c r="M80" s="21" t="n"/>
      <c r="N80" s="21" t="n"/>
      <c r="O80" s="9" t="n"/>
      <c r="P80" s="9" t="n"/>
    </row>
    <row r="81">
      <c r="A81" s="10" t="n"/>
      <c r="B81" s="10" t="n"/>
      <c r="C81" s="10" t="n"/>
      <c r="D81" s="10" t="n"/>
      <c r="E81" s="10" t="n"/>
      <c r="F81" s="10" t="n"/>
      <c r="G81" s="10" t="n"/>
      <c r="H81" s="10" t="n"/>
      <c r="I81" s="10" t="n"/>
      <c r="J81" s="10" t="n"/>
      <c r="K81" s="10" t="n"/>
      <c r="L81" s="10" t="n"/>
      <c r="M81" s="22" t="n"/>
      <c r="N81" s="22" t="n"/>
      <c r="O81" s="10" t="n"/>
      <c r="P81" s="10" t="n"/>
    </row>
    <row r="82">
      <c r="A82" s="9" t="n"/>
      <c r="B82" s="9" t="n"/>
      <c r="C82" s="9" t="n"/>
      <c r="D82" s="9" t="n"/>
      <c r="E82" s="9" t="n"/>
      <c r="F82" s="9" t="n"/>
      <c r="G82" s="9" t="n"/>
      <c r="H82" s="9" t="n"/>
      <c r="I82" s="9" t="n"/>
      <c r="J82" s="9" t="n"/>
      <c r="K82" s="9" t="n"/>
      <c r="L82" s="9" t="n"/>
      <c r="M82" s="21" t="n"/>
      <c r="N82" s="21" t="n"/>
      <c r="O82" s="9" t="n"/>
      <c r="P82" s="9" t="n"/>
    </row>
    <row r="83">
      <c r="A83" s="10" t="n"/>
      <c r="B83" s="10" t="n"/>
      <c r="C83" s="10" t="n"/>
      <c r="D83" s="10" t="n"/>
      <c r="E83" s="10" t="n"/>
      <c r="F83" s="10" t="n"/>
      <c r="G83" s="10" t="n"/>
      <c r="H83" s="10" t="n"/>
      <c r="I83" s="10" t="n"/>
      <c r="J83" s="10" t="n"/>
      <c r="K83" s="10" t="n"/>
      <c r="L83" s="10" t="n"/>
      <c r="M83" s="22" t="n"/>
      <c r="N83" s="22" t="n"/>
      <c r="O83" s="10" t="n"/>
      <c r="P83" s="10" t="n"/>
    </row>
    <row r="84">
      <c r="A84" s="9" t="n"/>
      <c r="B84" s="9" t="n"/>
      <c r="C84" s="9" t="n"/>
      <c r="D84" s="9" t="n"/>
      <c r="E84" s="9" t="n"/>
      <c r="F84" s="9" t="n"/>
      <c r="G84" s="9" t="n"/>
      <c r="H84" s="9" t="n"/>
      <c r="I84" s="9" t="n"/>
      <c r="J84" s="9" t="n"/>
      <c r="K84" s="9" t="n"/>
      <c r="L84" s="9" t="n"/>
      <c r="M84" s="21" t="n"/>
      <c r="N84" s="21" t="n"/>
      <c r="O84" s="9" t="n"/>
      <c r="P84" s="9" t="n"/>
    </row>
    <row r="85">
      <c r="A85" s="10" t="n"/>
      <c r="B85" s="10" t="n"/>
      <c r="C85" s="10" t="n"/>
      <c r="D85" s="10" t="n"/>
      <c r="E85" s="10" t="n"/>
      <c r="F85" s="10" t="n"/>
      <c r="G85" s="10" t="n"/>
      <c r="H85" s="10" t="n"/>
      <c r="I85" s="10" t="n"/>
      <c r="J85" s="10" t="n"/>
      <c r="K85" s="10" t="n"/>
      <c r="L85" s="10" t="n"/>
      <c r="M85" s="22" t="n"/>
      <c r="N85" s="22" t="n"/>
      <c r="O85" s="10" t="n"/>
      <c r="P85" s="10" t="n"/>
    </row>
    <row r="86">
      <c r="A86" s="9" t="n"/>
      <c r="B86" s="9" t="n"/>
      <c r="C86" s="9" t="n"/>
      <c r="D86" s="9" t="n"/>
      <c r="E86" s="9" t="n"/>
      <c r="F86" s="9" t="n"/>
      <c r="G86" s="9" t="n"/>
      <c r="H86" s="9" t="n"/>
      <c r="I86" s="9" t="n"/>
      <c r="J86" s="9" t="n"/>
      <c r="K86" s="9" t="n"/>
      <c r="L86" s="9" t="n"/>
      <c r="M86" s="21" t="n"/>
      <c r="N86" s="21" t="n"/>
      <c r="O86" s="9" t="n"/>
      <c r="P86" s="9" t="n"/>
    </row>
    <row r="87">
      <c r="A87" s="10" t="n"/>
      <c r="B87" s="10" t="n"/>
      <c r="C87" s="10" t="n"/>
      <c r="D87" s="10" t="n"/>
      <c r="E87" s="10" t="n"/>
      <c r="F87" s="10" t="n"/>
      <c r="G87" s="10" t="n"/>
      <c r="H87" s="10" t="n"/>
      <c r="I87" s="10" t="n"/>
      <c r="J87" s="10" t="n"/>
      <c r="K87" s="10" t="n"/>
      <c r="L87" s="10" t="n"/>
      <c r="M87" s="22" t="n"/>
      <c r="N87" s="22" t="n"/>
      <c r="O87" s="10" t="n"/>
      <c r="P87" s="10" t="n"/>
    </row>
    <row r="88">
      <c r="A88" s="9" t="n"/>
      <c r="B88" s="9" t="n"/>
      <c r="C88" s="9" t="n"/>
      <c r="D88" s="9" t="n"/>
      <c r="E88" s="9" t="n"/>
      <c r="F88" s="9" t="n"/>
      <c r="G88" s="9" t="n"/>
      <c r="H88" s="9" t="n"/>
      <c r="I88" s="9" t="n"/>
      <c r="J88" s="9" t="n"/>
      <c r="K88" s="9" t="n"/>
      <c r="L88" s="9" t="n"/>
      <c r="M88" s="21" t="n"/>
      <c r="N88" s="21" t="n"/>
      <c r="O88" s="9" t="n"/>
      <c r="P88" s="9" t="n"/>
    </row>
    <row r="89">
      <c r="A89" s="10" t="n"/>
      <c r="B89" s="10" t="n"/>
      <c r="C89" s="10" t="n"/>
      <c r="D89" s="10" t="n"/>
      <c r="E89" s="10" t="n"/>
      <c r="F89" s="10" t="n"/>
      <c r="G89" s="10" t="n"/>
      <c r="H89" s="10" t="n"/>
      <c r="I89" s="10" t="n"/>
      <c r="J89" s="10" t="n"/>
      <c r="K89" s="10" t="n"/>
      <c r="L89" s="10" t="n"/>
      <c r="M89" s="22" t="n"/>
      <c r="N89" s="22" t="n"/>
      <c r="O89" s="10" t="n"/>
      <c r="P89" s="10" t="n"/>
    </row>
    <row r="90">
      <c r="A90" s="9" t="n"/>
      <c r="B90" s="9" t="n"/>
      <c r="C90" s="9" t="n"/>
      <c r="D90" s="9" t="n"/>
      <c r="E90" s="9" t="n"/>
      <c r="F90" s="9" t="n"/>
      <c r="G90" s="9" t="n"/>
      <c r="H90" s="9" t="n"/>
      <c r="I90" s="9" t="n"/>
      <c r="J90" s="9" t="n"/>
      <c r="K90" s="9" t="n"/>
      <c r="L90" s="9" t="n"/>
      <c r="M90" s="21" t="n"/>
      <c r="N90" s="21" t="n"/>
      <c r="O90" s="9" t="n"/>
      <c r="P90" s="9" t="n"/>
    </row>
    <row r="91">
      <c r="A91" s="10" t="n"/>
      <c r="B91" s="10" t="n"/>
      <c r="C91" s="10" t="n"/>
      <c r="D91" s="10" t="n"/>
      <c r="E91" s="10" t="n"/>
      <c r="F91" s="10" t="n"/>
      <c r="G91" s="10" t="n"/>
      <c r="H91" s="10" t="n"/>
      <c r="I91" s="10" t="n"/>
      <c r="J91" s="10" t="n"/>
      <c r="K91" s="10" t="n"/>
      <c r="L91" s="10" t="n"/>
      <c r="M91" s="22" t="n"/>
      <c r="N91" s="22" t="n"/>
      <c r="O91" s="10" t="n"/>
      <c r="P91" s="10" t="n"/>
    </row>
    <row r="92">
      <c r="A92" s="9" t="n"/>
      <c r="B92" s="9" t="n"/>
      <c r="C92" s="9" t="n"/>
      <c r="D92" s="9" t="n"/>
      <c r="E92" s="9" t="n"/>
      <c r="F92" s="9" t="n"/>
      <c r="G92" s="9" t="n"/>
      <c r="H92" s="9" t="n"/>
      <c r="I92" s="9" t="n"/>
      <c r="J92" s="9" t="n"/>
      <c r="K92" s="9" t="n"/>
      <c r="L92" s="9" t="n"/>
      <c r="M92" s="21" t="n"/>
      <c r="N92" s="21" t="n"/>
      <c r="O92" s="9" t="n"/>
      <c r="P92" s="9" t="n"/>
    </row>
    <row r="93">
      <c r="A93" s="10" t="n"/>
      <c r="B93" s="10" t="n"/>
      <c r="C93" s="10" t="n"/>
      <c r="D93" s="10" t="n"/>
      <c r="E93" s="10" t="n"/>
      <c r="F93" s="10" t="n"/>
      <c r="G93" s="10" t="n"/>
      <c r="H93" s="10" t="n"/>
      <c r="I93" s="10" t="n"/>
      <c r="J93" s="10" t="n"/>
      <c r="K93" s="10" t="n"/>
      <c r="L93" s="10" t="n"/>
      <c r="M93" s="22" t="n"/>
      <c r="N93" s="22" t="n"/>
      <c r="O93" s="10" t="n"/>
      <c r="P93" s="10" t="n"/>
    </row>
    <row r="94">
      <c r="A94" s="9" t="n"/>
      <c r="B94" s="9" t="n"/>
      <c r="C94" s="9" t="n"/>
      <c r="D94" s="9" t="n"/>
      <c r="E94" s="9" t="n"/>
      <c r="F94" s="9" t="n"/>
      <c r="G94" s="9" t="n"/>
      <c r="H94" s="9" t="n"/>
      <c r="I94" s="9" t="n"/>
      <c r="J94" s="9" t="n"/>
      <c r="K94" s="9" t="n"/>
      <c r="L94" s="9" t="n"/>
      <c r="M94" s="21" t="n"/>
      <c r="N94" s="21" t="n"/>
      <c r="O94" s="9" t="n"/>
      <c r="P94" s="9" t="n"/>
    </row>
    <row r="95">
      <c r="A95" s="10" t="n"/>
      <c r="B95" s="10" t="n"/>
      <c r="C95" s="10" t="n"/>
      <c r="D95" s="10" t="n"/>
      <c r="E95" s="10" t="n"/>
      <c r="F95" s="10" t="n"/>
      <c r="G95" s="10" t="n"/>
      <c r="H95" s="10" t="n"/>
      <c r="I95" s="10" t="n"/>
      <c r="J95" s="10" t="n"/>
      <c r="K95" s="10" t="n"/>
      <c r="L95" s="10" t="n"/>
      <c r="M95" s="22" t="n"/>
      <c r="N95" s="22" t="n"/>
      <c r="O95" s="10" t="n"/>
      <c r="P95" s="10" t="n"/>
    </row>
    <row r="96">
      <c r="A96" s="9" t="n"/>
      <c r="B96" s="9" t="n"/>
      <c r="C96" s="9" t="n"/>
      <c r="D96" s="9" t="n"/>
      <c r="E96" s="9" t="n"/>
      <c r="F96" s="9" t="n"/>
      <c r="G96" s="9" t="n"/>
      <c r="H96" s="9" t="n"/>
      <c r="I96" s="9" t="n"/>
      <c r="J96" s="9" t="n"/>
      <c r="K96" s="9" t="n"/>
      <c r="L96" s="9" t="n"/>
      <c r="M96" s="21" t="n"/>
      <c r="N96" s="21" t="n"/>
      <c r="O96" s="9" t="n"/>
      <c r="P96" s="9" t="n"/>
    </row>
    <row r="97">
      <c r="A97" s="10" t="n"/>
      <c r="B97" s="10" t="n"/>
      <c r="C97" s="10" t="n"/>
      <c r="D97" s="10" t="n"/>
      <c r="E97" s="10" t="n"/>
      <c r="F97" s="10" t="n"/>
      <c r="G97" s="10" t="n"/>
      <c r="H97" s="10" t="n"/>
      <c r="I97" s="10" t="n"/>
      <c r="J97" s="10" t="n"/>
      <c r="K97" s="10" t="n"/>
      <c r="L97" s="10" t="n"/>
      <c r="M97" s="22" t="n"/>
      <c r="N97" s="22" t="n"/>
      <c r="O97" s="10" t="n"/>
      <c r="P97" s="10" t="n"/>
    </row>
    <row r="98">
      <c r="A98" s="9" t="n"/>
      <c r="B98" s="9" t="n"/>
      <c r="C98" s="9" t="n"/>
      <c r="D98" s="9" t="n"/>
      <c r="E98" s="9" t="n"/>
      <c r="F98" s="9" t="n"/>
      <c r="G98" s="9" t="n"/>
      <c r="H98" s="9" t="n"/>
      <c r="I98" s="9" t="n"/>
      <c r="J98" s="9" t="n"/>
      <c r="K98" s="9" t="n"/>
      <c r="L98" s="9" t="n"/>
      <c r="M98" s="21" t="n"/>
      <c r="N98" s="21" t="n"/>
      <c r="O98" s="9" t="n"/>
      <c r="P98" s="9" t="n"/>
    </row>
    <row r="99">
      <c r="A99" s="10" t="n"/>
      <c r="B99" s="10" t="n"/>
      <c r="C99" s="10" t="n"/>
      <c r="D99" s="10" t="n"/>
      <c r="E99" s="10" t="n"/>
      <c r="F99" s="10" t="n"/>
      <c r="G99" s="10" t="n"/>
      <c r="H99" s="10" t="n"/>
      <c r="I99" s="10" t="n"/>
      <c r="J99" s="10" t="n"/>
      <c r="K99" s="10" t="n"/>
      <c r="L99" s="10" t="n"/>
      <c r="M99" s="22" t="n"/>
      <c r="N99" s="22" t="n"/>
      <c r="O99" s="10" t="n"/>
      <c r="P99" s="10" t="n"/>
    </row>
    <row r="100">
      <c r="A100" s="9" t="n"/>
      <c r="B100" s="9" t="n"/>
      <c r="C100" s="9" t="n"/>
      <c r="D100" s="9" t="n"/>
      <c r="E100" s="9" t="n"/>
      <c r="F100" s="9" t="n"/>
      <c r="G100" s="9" t="n"/>
      <c r="H100" s="9" t="n"/>
      <c r="I100" s="9" t="n"/>
      <c r="J100" s="9" t="n"/>
      <c r="K100" s="9" t="n"/>
      <c r="L100" s="9" t="n"/>
      <c r="M100" s="21" t="n"/>
      <c r="N100" s="21" t="n"/>
      <c r="O100" s="9" t="n"/>
      <c r="P100" s="9" t="n"/>
    </row>
    <row r="101">
      <c r="A101" s="10" t="n"/>
      <c r="B101" s="10" t="n"/>
      <c r="C101" s="10" t="n"/>
      <c r="D101" s="10" t="n"/>
      <c r="E101" s="10" t="n"/>
      <c r="F101" s="10" t="n"/>
      <c r="G101" s="10" t="n"/>
      <c r="H101" s="10" t="n"/>
      <c r="I101" s="10" t="n"/>
      <c r="J101" s="10" t="n"/>
      <c r="K101" s="10" t="n"/>
      <c r="L101" s="10" t="n"/>
      <c r="M101" s="22" t="n"/>
      <c r="N101" s="22" t="n"/>
      <c r="O101" s="10" t="n"/>
      <c r="P101" s="10" t="n"/>
    </row>
    <row r="102">
      <c r="A102" s="10" t="n"/>
      <c r="B102" s="10" t="n"/>
      <c r="C102" s="10" t="n"/>
      <c r="D102" s="10" t="n"/>
      <c r="E102" s="10" t="n"/>
      <c r="F102" s="10" t="n"/>
      <c r="G102" s="10" t="n"/>
      <c r="H102" s="10" t="n"/>
      <c r="I102" s="10" t="n"/>
      <c r="J102" s="10" t="n"/>
      <c r="K102" s="10" t="n"/>
      <c r="L102" s="10" t="n"/>
      <c r="M102" s="22" t="n"/>
      <c r="N102" s="22" t="n"/>
      <c r="O102" s="10" t="n"/>
      <c r="P102" s="10" t="n"/>
    </row>
    <row r="103">
      <c r="M103" s="23" t="n"/>
      <c r="N103" s="23" t="n"/>
    </row>
    <row r="104">
      <c r="M104" s="23" t="n"/>
      <c r="N104" s="23" t="n"/>
    </row>
    <row r="105">
      <c r="M105" s="23" t="n"/>
      <c r="N105" s="23" t="n"/>
    </row>
    <row r="106">
      <c r="M106" s="23" t="n"/>
      <c r="N106" s="23" t="n"/>
    </row>
    <row r="107">
      <c r="M107" s="23" t="n"/>
      <c r="N107" s="23" t="n"/>
    </row>
    <row r="108">
      <c r="M108" s="23" t="n"/>
      <c r="N108" s="23" t="n"/>
    </row>
    <row r="109">
      <c r="M109" s="23" t="n"/>
      <c r="N109" s="23" t="n"/>
    </row>
    <row r="110">
      <c r="M110" s="23" t="n"/>
      <c r="N110" s="23" t="n"/>
    </row>
    <row r="111">
      <c r="M111" s="23" t="n"/>
      <c r="N111" s="23" t="n"/>
    </row>
    <row r="112">
      <c r="M112" s="23" t="n"/>
      <c r="N112" s="23" t="n"/>
    </row>
    <row r="113">
      <c r="M113" s="23" t="n"/>
      <c r="N113" s="23" t="n"/>
    </row>
    <row r="114">
      <c r="M114" s="23" t="n"/>
      <c r="N114" s="23" t="n"/>
    </row>
    <row r="115">
      <c r="M115" s="23" t="n"/>
      <c r="N115" s="23" t="n"/>
    </row>
    <row r="116">
      <c r="M116" s="23" t="n"/>
      <c r="N116" s="23" t="n"/>
    </row>
    <row r="117">
      <c r="M117" s="23" t="n"/>
      <c r="N117" s="23" t="n"/>
    </row>
    <row r="118">
      <c r="M118" s="23" t="n"/>
      <c r="N118" s="23" t="n"/>
    </row>
    <row r="119">
      <c r="M119" s="23" t="n"/>
      <c r="N119" s="23" t="n"/>
    </row>
    <row r="120">
      <c r="M120" s="23" t="n"/>
      <c r="N120" s="23" t="n"/>
    </row>
    <row r="121">
      <c r="M121" s="23" t="n"/>
      <c r="N121" s="23" t="n"/>
    </row>
    <row r="122">
      <c r="M122" s="23" t="n"/>
      <c r="N122" s="23" t="n"/>
    </row>
    <row r="123">
      <c r="M123" s="23" t="n"/>
      <c r="N123" s="23" t="n"/>
    </row>
    <row r="124">
      <c r="M124" s="23" t="n"/>
      <c r="N124" s="23" t="n"/>
    </row>
    <row r="125">
      <c r="M125" s="23" t="n"/>
      <c r="N125" s="23" t="n"/>
    </row>
    <row r="126">
      <c r="M126" s="23" t="n"/>
      <c r="N126" s="23" t="n"/>
    </row>
    <row r="127">
      <c r="M127" s="23" t="n"/>
      <c r="N127" s="23" t="n"/>
    </row>
    <row r="128">
      <c r="M128" s="23" t="n"/>
      <c r="N128" s="23" t="n"/>
    </row>
    <row r="129">
      <c r="M129" s="23" t="n"/>
      <c r="N129" s="23" t="n"/>
    </row>
    <row r="130">
      <c r="M130" s="23" t="n"/>
      <c r="N130" s="23" t="n"/>
    </row>
    <row r="131">
      <c r="M131" s="23" t="n"/>
      <c r="N131" s="23" t="n"/>
    </row>
    <row r="132">
      <c r="M132" s="23" t="n"/>
      <c r="N132" s="23" t="n"/>
    </row>
    <row r="133">
      <c r="M133" s="23" t="n"/>
      <c r="N133" s="23" t="n"/>
    </row>
    <row r="134">
      <c r="M134" s="23" t="n"/>
      <c r="N134" s="23" t="n"/>
    </row>
    <row r="135">
      <c r="M135" s="23" t="n"/>
      <c r="N135" s="23" t="n"/>
    </row>
    <row r="136">
      <c r="M136" s="23" t="n"/>
      <c r="N136" s="23" t="n"/>
    </row>
    <row r="137">
      <c r="M137" s="23" t="n"/>
      <c r="N137" s="23" t="n"/>
    </row>
    <row r="138">
      <c r="M138" s="23" t="n"/>
      <c r="N138" s="23" t="n"/>
    </row>
    <row r="139">
      <c r="M139" s="23" t="n"/>
      <c r="N139" s="23" t="n"/>
    </row>
    <row r="140">
      <c r="M140" s="23" t="n"/>
      <c r="N140" s="23" t="n"/>
    </row>
    <row r="141">
      <c r="M141" s="23" t="n"/>
      <c r="N141" s="23" t="n"/>
    </row>
    <row r="142">
      <c r="M142" s="23" t="n"/>
      <c r="N142" s="23" t="n"/>
    </row>
    <row r="143">
      <c r="M143" s="23" t="n"/>
      <c r="N143" s="23" t="n"/>
    </row>
    <row r="144">
      <c r="M144" s="23" t="n"/>
      <c r="N144" s="23" t="n"/>
    </row>
    <row r="145">
      <c r="M145" s="23" t="n"/>
      <c r="N145" s="23" t="n"/>
    </row>
    <row r="146">
      <c r="M146" s="23" t="n"/>
      <c r="N146" s="23" t="n"/>
    </row>
    <row r="147">
      <c r="M147" s="23" t="n"/>
      <c r="N147" s="23" t="n"/>
    </row>
    <row r="148">
      <c r="M148" s="23" t="n"/>
      <c r="N148" s="23" t="n"/>
    </row>
    <row r="149">
      <c r="M149" s="23" t="n"/>
      <c r="N149" s="23" t="n"/>
    </row>
    <row r="150">
      <c r="M150" s="23" t="n"/>
      <c r="N150" s="23" t="n"/>
    </row>
    <row r="151">
      <c r="M151" s="23" t="n"/>
      <c r="N151" s="23" t="n"/>
    </row>
    <row r="152">
      <c r="M152" s="23" t="n"/>
      <c r="N152" s="23" t="n"/>
    </row>
    <row r="153">
      <c r="M153" s="23" t="n"/>
      <c r="N153" s="23" t="n"/>
    </row>
    <row r="154">
      <c r="M154" s="23" t="n"/>
      <c r="N154" s="23" t="n"/>
    </row>
    <row r="155">
      <c r="M155" s="23" t="n"/>
      <c r="N155" s="23" t="n"/>
    </row>
    <row r="156">
      <c r="M156" s="23" t="n"/>
      <c r="N156" s="23" t="n"/>
    </row>
    <row r="157">
      <c r="M157" s="23" t="n"/>
      <c r="N157" s="23" t="n"/>
    </row>
    <row r="158">
      <c r="M158" s="23" t="n"/>
      <c r="N158" s="23" t="n"/>
    </row>
    <row r="159">
      <c r="M159" s="23" t="n"/>
      <c r="N159" s="23" t="n"/>
    </row>
    <row r="160">
      <c r="M160" s="23" t="n"/>
      <c r="N160" s="23" t="n"/>
    </row>
    <row r="161">
      <c r="M161" s="23" t="n"/>
      <c r="N161" s="23" t="n"/>
    </row>
    <row r="162">
      <c r="M162" s="23" t="n"/>
      <c r="N162" s="23" t="n"/>
    </row>
    <row r="163">
      <c r="M163" s="23" t="n"/>
      <c r="N163" s="23" t="n"/>
    </row>
    <row r="164">
      <c r="M164" s="23" t="n"/>
      <c r="N164" s="23" t="n"/>
    </row>
    <row r="165">
      <c r="M165" s="23" t="n"/>
      <c r="N165" s="23" t="n"/>
    </row>
    <row r="166">
      <c r="M166" s="23" t="n"/>
      <c r="N166" s="23" t="n"/>
    </row>
    <row r="167">
      <c r="M167" s="23" t="n"/>
      <c r="N167" s="23" t="n"/>
    </row>
    <row r="168">
      <c r="M168" s="23" t="n"/>
      <c r="N168" s="23" t="n"/>
    </row>
    <row r="169">
      <c r="M169" s="23" t="n"/>
      <c r="N169" s="23" t="n"/>
    </row>
    <row r="170">
      <c r="M170" s="23" t="n"/>
      <c r="N170" s="23" t="n"/>
    </row>
    <row r="171">
      <c r="M171" s="23" t="n"/>
      <c r="N171" s="23" t="n"/>
    </row>
    <row r="172">
      <c r="M172" s="23" t="n"/>
      <c r="N172" s="23" t="n"/>
    </row>
    <row r="173">
      <c r="M173" s="23" t="n"/>
      <c r="N173" s="23" t="n"/>
    </row>
    <row r="174">
      <c r="M174" s="23" t="n"/>
      <c r="N174" s="23" t="n"/>
    </row>
    <row r="175">
      <c r="M175" s="23" t="n"/>
      <c r="N175" s="23" t="n"/>
    </row>
    <row r="176">
      <c r="M176" s="23" t="n"/>
      <c r="N176" s="23" t="n"/>
    </row>
    <row r="177">
      <c r="M177" s="23" t="n"/>
      <c r="N177" s="23" t="n"/>
    </row>
    <row r="178">
      <c r="M178" s="23" t="n"/>
      <c r="N178" s="23" t="n"/>
    </row>
    <row r="179">
      <c r="M179" s="23" t="n"/>
      <c r="N179" s="23" t="n"/>
    </row>
    <row r="180">
      <c r="M180" s="23" t="n"/>
      <c r="N180" s="23" t="n"/>
    </row>
    <row r="181">
      <c r="M181" s="23" t="n"/>
      <c r="N181" s="23" t="n"/>
    </row>
    <row r="182">
      <c r="M182" s="23" t="n"/>
      <c r="N182" s="23" t="n"/>
    </row>
    <row r="183">
      <c r="M183" s="23" t="n"/>
      <c r="N183" s="23" t="n"/>
    </row>
    <row r="184">
      <c r="M184" s="23" t="n"/>
      <c r="N184" s="23" t="n"/>
    </row>
    <row r="185">
      <c r="M185" s="23" t="n"/>
      <c r="N185" s="23" t="n"/>
    </row>
    <row r="186">
      <c r="M186" s="23" t="n"/>
      <c r="N186" s="23" t="n"/>
    </row>
    <row r="187">
      <c r="M187" s="23" t="n"/>
      <c r="N187" s="23" t="n"/>
    </row>
    <row r="188">
      <c r="M188" s="23" t="n"/>
      <c r="N188" s="23" t="n"/>
    </row>
    <row r="189">
      <c r="M189" s="23" t="n"/>
      <c r="N189" s="23" t="n"/>
    </row>
    <row r="190">
      <c r="M190" s="23" t="n"/>
      <c r="N190" s="23" t="n"/>
    </row>
    <row r="191">
      <c r="M191" s="23" t="n"/>
      <c r="N191" s="23" t="n"/>
    </row>
    <row r="192">
      <c r="M192" s="23" t="n"/>
      <c r="N192" s="23" t="n"/>
    </row>
    <row r="193">
      <c r="M193" s="23" t="n"/>
      <c r="N193" s="23" t="n"/>
    </row>
    <row r="194">
      <c r="M194" s="23" t="n"/>
      <c r="N194" s="23" t="n"/>
    </row>
    <row r="195">
      <c r="M195" s="23" t="n"/>
      <c r="N195" s="23" t="n"/>
    </row>
    <row r="196">
      <c r="M196" s="23" t="n"/>
      <c r="N196" s="23" t="n"/>
    </row>
    <row r="197">
      <c r="M197" s="23" t="n"/>
      <c r="N197" s="23" t="n"/>
    </row>
    <row r="198">
      <c r="M198" s="23" t="n"/>
      <c r="N198" s="23" t="n"/>
    </row>
    <row r="199">
      <c r="M199" s="23" t="n"/>
      <c r="N199" s="23" t="n"/>
    </row>
    <row r="200">
      <c r="M200" s="23" t="n"/>
      <c r="N200" s="23" t="n"/>
    </row>
    <row r="201">
      <c r="M201" s="23" t="n"/>
      <c r="N201" s="23" t="n"/>
    </row>
    <row r="202">
      <c r="M202" s="23" t="n"/>
      <c r="N202" s="23" t="n"/>
    </row>
    <row r="203">
      <c r="M203" s="23" t="n"/>
      <c r="N203" s="23" t="n"/>
    </row>
    <row r="204">
      <c r="M204" s="23" t="n"/>
      <c r="N204" s="23" t="n"/>
    </row>
    <row r="205">
      <c r="M205" s="23" t="n"/>
      <c r="N205" s="23" t="n"/>
    </row>
    <row r="206">
      <c r="M206" s="23" t="n"/>
      <c r="N206" s="23" t="n"/>
    </row>
    <row r="207">
      <c r="M207" s="23" t="n"/>
      <c r="N207" s="23" t="n"/>
    </row>
    <row r="208">
      <c r="M208" s="23" t="n"/>
      <c r="N208" s="23" t="n"/>
    </row>
    <row r="209">
      <c r="M209" s="23" t="n"/>
      <c r="N209" s="23" t="n"/>
    </row>
    <row r="210">
      <c r="M210" s="23" t="n"/>
      <c r="N210" s="23" t="n"/>
    </row>
    <row r="211">
      <c r="M211" s="23" t="n"/>
      <c r="N211" s="23" t="n"/>
    </row>
    <row r="212">
      <c r="M212" s="23" t="n"/>
      <c r="N212" s="23" t="n"/>
    </row>
    <row r="213">
      <c r="M213" s="23" t="n"/>
      <c r="N213" s="23" t="n"/>
    </row>
    <row r="214">
      <c r="M214" s="23" t="n"/>
      <c r="N214" s="23" t="n"/>
    </row>
    <row r="215">
      <c r="M215" s="23" t="n"/>
      <c r="N215" s="23" t="n"/>
    </row>
    <row r="216">
      <c r="M216" s="23" t="n"/>
      <c r="N216" s="23" t="n"/>
    </row>
    <row r="217">
      <c r="M217" s="23" t="n"/>
      <c r="N217" s="23" t="n"/>
    </row>
    <row r="218">
      <c r="M218" s="23" t="n"/>
      <c r="N218" s="23" t="n"/>
    </row>
    <row r="219">
      <c r="M219" s="23" t="n"/>
      <c r="N219" s="23" t="n"/>
    </row>
    <row r="220">
      <c r="M220" s="23" t="n"/>
      <c r="N220" s="23" t="n"/>
    </row>
    <row r="221">
      <c r="M221" s="23" t="n"/>
      <c r="N221" s="23" t="n"/>
    </row>
    <row r="222">
      <c r="M222" s="23" t="n"/>
      <c r="N222" s="23" t="n"/>
    </row>
    <row r="223">
      <c r="M223" s="23" t="n"/>
      <c r="N223" s="23" t="n"/>
    </row>
    <row r="224">
      <c r="M224" s="23" t="n"/>
      <c r="N224" s="23" t="n"/>
    </row>
    <row r="225">
      <c r="M225" s="23" t="n"/>
      <c r="N225" s="23" t="n"/>
    </row>
    <row r="226">
      <c r="M226" s="23" t="n"/>
      <c r="N226" s="23" t="n"/>
    </row>
    <row r="227">
      <c r="M227" s="23" t="n"/>
      <c r="N227" s="23" t="n"/>
    </row>
    <row r="228">
      <c r="M228" s="23" t="n"/>
      <c r="N228" s="23" t="n"/>
    </row>
    <row r="229">
      <c r="M229" s="23" t="n"/>
      <c r="N229" s="23" t="n"/>
    </row>
    <row r="230">
      <c r="M230" s="23" t="n"/>
      <c r="N230" s="23" t="n"/>
    </row>
    <row r="231">
      <c r="M231" s="23" t="n"/>
      <c r="N231" s="23" t="n"/>
    </row>
    <row r="232">
      <c r="M232" s="23" t="n"/>
      <c r="N232" s="23" t="n"/>
    </row>
    <row r="233">
      <c r="M233" s="23" t="n"/>
      <c r="N233" s="23" t="n"/>
    </row>
    <row r="234">
      <c r="M234" s="23" t="n"/>
      <c r="N234" s="23" t="n"/>
    </row>
    <row r="235">
      <c r="M235" s="23" t="n"/>
      <c r="N235" s="23" t="n"/>
    </row>
    <row r="236">
      <c r="M236" s="23" t="n"/>
      <c r="N236" s="23" t="n"/>
    </row>
    <row r="237">
      <c r="M237" s="23" t="n"/>
      <c r="N237" s="23" t="n"/>
    </row>
    <row r="238">
      <c r="M238" s="23" t="n"/>
      <c r="N238" s="23" t="n"/>
    </row>
    <row r="239">
      <c r="M239" s="23" t="n"/>
      <c r="N239" s="23" t="n"/>
    </row>
    <row r="240">
      <c r="M240" s="23" t="n"/>
      <c r="N240" s="23" t="n"/>
    </row>
    <row r="241">
      <c r="M241" s="23" t="n"/>
      <c r="N241" s="23" t="n"/>
    </row>
    <row r="242">
      <c r="M242" s="23" t="n"/>
      <c r="N242" s="23" t="n"/>
    </row>
    <row r="243">
      <c r="M243" s="23" t="n"/>
      <c r="N243" s="23" t="n"/>
    </row>
    <row r="244">
      <c r="M244" s="23" t="n"/>
      <c r="N244" s="23" t="n"/>
    </row>
    <row r="245">
      <c r="M245" s="23" t="n"/>
      <c r="N245" s="23" t="n"/>
    </row>
    <row r="246">
      <c r="M246" s="23" t="n"/>
      <c r="N246" s="23" t="n"/>
    </row>
    <row r="247">
      <c r="M247" s="23" t="n"/>
      <c r="N247" s="23" t="n"/>
    </row>
    <row r="248">
      <c r="M248" s="23" t="n"/>
      <c r="N248" s="23" t="n"/>
    </row>
    <row r="249">
      <c r="M249" s="23" t="n"/>
      <c r="N249" s="23" t="n"/>
    </row>
    <row r="250">
      <c r="M250" s="23" t="n"/>
      <c r="N250" s="23" t="n"/>
    </row>
    <row r="251">
      <c r="M251" s="23" t="n"/>
      <c r="N251" s="23" t="n"/>
    </row>
    <row r="252">
      <c r="M252" s="23" t="n"/>
      <c r="N252" s="23" t="n"/>
    </row>
    <row r="253">
      <c r="M253" s="23" t="n"/>
      <c r="N253" s="23" t="n"/>
    </row>
    <row r="254">
      <c r="M254" s="23" t="n"/>
      <c r="N254" s="23" t="n"/>
    </row>
    <row r="255">
      <c r="M255" s="23" t="n"/>
      <c r="N255" s="23" t="n"/>
    </row>
    <row r="256">
      <c r="M256" s="23" t="n"/>
      <c r="N256" s="23" t="n"/>
    </row>
    <row r="257">
      <c r="M257" s="23" t="n"/>
      <c r="N257" s="23" t="n"/>
    </row>
    <row r="258">
      <c r="M258" s="23" t="n"/>
      <c r="N258" s="23" t="n"/>
    </row>
    <row r="259">
      <c r="M259" s="23" t="n"/>
      <c r="N259" s="23" t="n"/>
    </row>
    <row r="260">
      <c r="M260" s="23" t="n"/>
      <c r="N260" s="23" t="n"/>
    </row>
    <row r="261">
      <c r="M261" s="23" t="n"/>
      <c r="N261" s="23" t="n"/>
    </row>
    <row r="262">
      <c r="M262" s="23" t="n"/>
      <c r="N262" s="23" t="n"/>
    </row>
    <row r="263">
      <c r="M263" s="23" t="n"/>
      <c r="N263" s="23" t="n"/>
    </row>
    <row r="264">
      <c r="M264" s="23" t="n"/>
      <c r="N264" s="23" t="n"/>
    </row>
    <row r="265">
      <c r="M265" s="23" t="n"/>
      <c r="N265" s="23" t="n"/>
    </row>
    <row r="266">
      <c r="M266" s="23" t="n"/>
      <c r="N266" s="23" t="n"/>
    </row>
    <row r="267">
      <c r="M267" s="23" t="n"/>
      <c r="N267" s="23" t="n"/>
    </row>
    <row r="268">
      <c r="M268" s="23" t="n"/>
      <c r="N268" s="23" t="n"/>
    </row>
    <row r="269">
      <c r="M269" s="23" t="n"/>
      <c r="N269" s="23" t="n"/>
    </row>
    <row r="270">
      <c r="M270" s="23" t="n"/>
      <c r="N270" s="23" t="n"/>
    </row>
    <row r="271">
      <c r="M271" s="23" t="n"/>
      <c r="N271" s="23" t="n"/>
    </row>
    <row r="272">
      <c r="M272" s="23" t="n"/>
      <c r="N272" s="23" t="n"/>
    </row>
    <row r="273">
      <c r="M273" s="23" t="n"/>
      <c r="N273" s="23" t="n"/>
    </row>
    <row r="274">
      <c r="M274" s="23" t="n"/>
      <c r="N274" s="23" t="n"/>
    </row>
    <row r="275">
      <c r="M275" s="23" t="n"/>
      <c r="N275" s="23" t="n"/>
    </row>
    <row r="276">
      <c r="M276" s="23" t="n"/>
      <c r="N276" s="23" t="n"/>
    </row>
    <row r="277">
      <c r="M277" s="23" t="n"/>
      <c r="N277" s="23" t="n"/>
    </row>
    <row r="278">
      <c r="M278" s="23" t="n"/>
      <c r="N278" s="23" t="n"/>
    </row>
    <row r="279">
      <c r="M279" s="23" t="n"/>
      <c r="N279" s="23" t="n"/>
    </row>
    <row r="280">
      <c r="M280" s="23" t="n"/>
      <c r="N280" s="23" t="n"/>
    </row>
    <row r="281">
      <c r="M281" s="23" t="n"/>
      <c r="N281" s="23" t="n"/>
    </row>
    <row r="282">
      <c r="M282" s="23" t="n"/>
      <c r="N282" s="23" t="n"/>
    </row>
    <row r="283">
      <c r="M283" s="23" t="n"/>
      <c r="N283" s="23" t="n"/>
    </row>
    <row r="284">
      <c r="M284" s="23" t="n"/>
      <c r="N284" s="23" t="n"/>
    </row>
    <row r="285">
      <c r="M285" s="23" t="n"/>
      <c r="N285" s="23" t="n"/>
    </row>
    <row r="286">
      <c r="M286" s="23" t="n"/>
      <c r="N286" s="23" t="n"/>
    </row>
    <row r="287">
      <c r="M287" s="23" t="n"/>
      <c r="N287" s="23" t="n"/>
    </row>
    <row r="288">
      <c r="M288" s="23" t="n"/>
      <c r="N288" s="23" t="n"/>
    </row>
    <row r="289">
      <c r="M289" s="23" t="n"/>
      <c r="N289" s="23" t="n"/>
    </row>
    <row r="290">
      <c r="M290" s="23" t="n"/>
      <c r="N290" s="23" t="n"/>
    </row>
    <row r="291">
      <c r="M291" s="23" t="n"/>
      <c r="N291" s="23" t="n"/>
    </row>
    <row r="292">
      <c r="M292" s="23" t="n"/>
      <c r="N292" s="23" t="n"/>
    </row>
    <row r="293">
      <c r="M293" s="23" t="n"/>
      <c r="N293" s="23" t="n"/>
    </row>
    <row r="294">
      <c r="M294" s="23" t="n"/>
      <c r="N294" s="23" t="n"/>
    </row>
    <row r="295">
      <c r="M295" s="23" t="n"/>
      <c r="N295" s="23" t="n"/>
    </row>
    <row r="296">
      <c r="M296" s="23" t="n"/>
      <c r="N296" s="23" t="n"/>
    </row>
    <row r="297">
      <c r="M297" s="23" t="n"/>
      <c r="N297" s="23" t="n"/>
    </row>
    <row r="298">
      <c r="M298" s="23" t="n"/>
      <c r="N298" s="23" t="n"/>
    </row>
    <row r="299">
      <c r="M299" s="23" t="n"/>
      <c r="N299" s="23" t="n"/>
    </row>
    <row r="300">
      <c r="M300" s="23" t="n"/>
      <c r="N300" s="23" t="n"/>
    </row>
    <row r="301">
      <c r="M301" s="23" t="n"/>
      <c r="N301" s="23" t="n"/>
    </row>
    <row r="302">
      <c r="M302" s="23" t="n"/>
      <c r="N302" s="23" t="n"/>
    </row>
    <row r="303">
      <c r="M303" s="23" t="n"/>
      <c r="N303" s="23" t="n"/>
    </row>
    <row r="304">
      <c r="M304" s="23" t="n"/>
      <c r="N304" s="23" t="n"/>
    </row>
    <row r="305">
      <c r="M305" s="23" t="n"/>
      <c r="N305" s="23" t="n"/>
    </row>
    <row r="306">
      <c r="M306" s="23" t="n"/>
      <c r="N306" s="23" t="n"/>
    </row>
    <row r="307">
      <c r="M307" s="23" t="n"/>
      <c r="N307" s="23" t="n"/>
    </row>
    <row r="308">
      <c r="M308" s="23" t="n"/>
      <c r="N308" s="23" t="n"/>
    </row>
    <row r="309">
      <c r="M309" s="23" t="n"/>
      <c r="N309" s="23" t="n"/>
    </row>
    <row r="310">
      <c r="M310" s="23" t="n"/>
      <c r="N310" s="23" t="n"/>
    </row>
    <row r="311">
      <c r="M311" s="23" t="n"/>
      <c r="N311" s="23" t="n"/>
    </row>
    <row r="312">
      <c r="M312" s="23" t="n"/>
      <c r="N312" s="23" t="n"/>
    </row>
    <row r="313">
      <c r="M313" s="23" t="n"/>
      <c r="N313" s="23" t="n"/>
    </row>
    <row r="314">
      <c r="M314" s="23" t="n"/>
      <c r="N314" s="23" t="n"/>
    </row>
    <row r="315">
      <c r="M315" s="23" t="n"/>
      <c r="N315" s="23" t="n"/>
    </row>
    <row r="316">
      <c r="M316" s="23" t="n"/>
      <c r="N316" s="23" t="n"/>
    </row>
    <row r="317">
      <c r="M317" s="23" t="n"/>
      <c r="N317" s="23" t="n"/>
    </row>
    <row r="318">
      <c r="M318" s="23" t="n"/>
      <c r="N318" s="23" t="n"/>
    </row>
    <row r="319">
      <c r="M319" s="23" t="n"/>
      <c r="N319" s="23" t="n"/>
    </row>
    <row r="320">
      <c r="M320" s="23" t="n"/>
      <c r="N320" s="23" t="n"/>
    </row>
    <row r="321">
      <c r="M321" s="23" t="n"/>
      <c r="N321" s="23" t="n"/>
    </row>
    <row r="322">
      <c r="M322" s="23" t="n"/>
      <c r="N322" s="23" t="n"/>
    </row>
    <row r="323">
      <c r="M323" s="23" t="n"/>
      <c r="N323" s="23" t="n"/>
    </row>
    <row r="324">
      <c r="M324" s="23" t="n"/>
      <c r="N324" s="23" t="n"/>
    </row>
    <row r="325">
      <c r="M325" s="23" t="n"/>
      <c r="N325" s="23" t="n"/>
    </row>
    <row r="326">
      <c r="M326" s="23" t="n"/>
      <c r="N326" s="23" t="n"/>
    </row>
    <row r="327">
      <c r="M327" s="23" t="n"/>
      <c r="N327" s="23" t="n"/>
    </row>
    <row r="328">
      <c r="M328" s="23" t="n"/>
      <c r="N328" s="23" t="n"/>
    </row>
    <row r="329">
      <c r="M329" s="23" t="n"/>
      <c r="N329" s="23" t="n"/>
    </row>
    <row r="330">
      <c r="M330" s="23" t="n"/>
      <c r="N330" s="23" t="n"/>
    </row>
    <row r="331">
      <c r="M331" s="23" t="n"/>
      <c r="N331" s="23" t="n"/>
    </row>
    <row r="332">
      <c r="M332" s="23" t="n"/>
      <c r="N332" s="23" t="n"/>
    </row>
    <row r="333">
      <c r="M333" s="23" t="n"/>
      <c r="N333" s="23" t="n"/>
    </row>
    <row r="334">
      <c r="M334" s="23" t="n"/>
      <c r="N334" s="23" t="n"/>
    </row>
    <row r="335">
      <c r="M335" s="23" t="n"/>
      <c r="N335" s="23" t="n"/>
    </row>
    <row r="336">
      <c r="M336" s="23" t="n"/>
      <c r="N336" s="23" t="n"/>
    </row>
    <row r="337">
      <c r="M337" s="23" t="n"/>
      <c r="N337" s="23" t="n"/>
    </row>
    <row r="338">
      <c r="M338" s="23" t="n"/>
      <c r="N338" s="23" t="n"/>
    </row>
    <row r="339">
      <c r="M339" s="23" t="n"/>
      <c r="N339" s="23" t="n"/>
    </row>
    <row r="340">
      <c r="M340" s="23" t="n"/>
      <c r="N340" s="23" t="n"/>
    </row>
    <row r="341">
      <c r="M341" s="23" t="n"/>
      <c r="N341" s="23" t="n"/>
    </row>
    <row r="342">
      <c r="M342" s="23" t="n"/>
      <c r="N342" s="23" t="n"/>
    </row>
    <row r="343">
      <c r="M343" s="23" t="n"/>
      <c r="N343" s="23" t="n"/>
    </row>
    <row r="344">
      <c r="M344" s="23" t="n"/>
      <c r="N344" s="23" t="n"/>
    </row>
    <row r="345">
      <c r="M345" s="23" t="n"/>
      <c r="N345" s="23" t="n"/>
    </row>
    <row r="346">
      <c r="M346" s="23" t="n"/>
      <c r="N346" s="23" t="n"/>
    </row>
    <row r="347">
      <c r="M347" s="23" t="n"/>
      <c r="N347" s="23" t="n"/>
    </row>
    <row r="348">
      <c r="M348" s="23" t="n"/>
      <c r="N348" s="23" t="n"/>
    </row>
    <row r="349">
      <c r="M349" s="23" t="n"/>
      <c r="N349" s="23" t="n"/>
    </row>
    <row r="350">
      <c r="M350" s="23" t="n"/>
      <c r="N350" s="23" t="n"/>
    </row>
    <row r="351">
      <c r="M351" s="23" t="n"/>
      <c r="N351" s="23" t="n"/>
    </row>
    <row r="352">
      <c r="M352" s="23" t="n"/>
      <c r="N352" s="23" t="n"/>
    </row>
    <row r="353">
      <c r="M353" s="23" t="n"/>
      <c r="N353" s="23" t="n"/>
    </row>
    <row r="354">
      <c r="M354" s="23" t="n"/>
      <c r="N354" s="23" t="n"/>
    </row>
    <row r="355">
      <c r="M355" s="23" t="n"/>
      <c r="N355" s="23" t="n"/>
    </row>
    <row r="356">
      <c r="M356" s="23" t="n"/>
      <c r="N356" s="23" t="n"/>
    </row>
    <row r="357">
      <c r="M357" s="23" t="n"/>
      <c r="N357" s="23" t="n"/>
    </row>
    <row r="358">
      <c r="M358" s="23" t="n"/>
      <c r="N358" s="23" t="n"/>
    </row>
    <row r="359">
      <c r="M359" s="23" t="n"/>
      <c r="N359" s="23" t="n"/>
    </row>
    <row r="360">
      <c r="M360" s="23" t="n"/>
      <c r="N360" s="23" t="n"/>
    </row>
    <row r="361">
      <c r="M361" s="23" t="n"/>
      <c r="N361" s="23" t="n"/>
    </row>
    <row r="362">
      <c r="M362" s="23" t="n"/>
      <c r="N362" s="23" t="n"/>
    </row>
    <row r="363">
      <c r="M363" s="23" t="n"/>
      <c r="N363" s="23" t="n"/>
    </row>
    <row r="364">
      <c r="M364" s="23" t="n"/>
      <c r="N364" s="23" t="n"/>
    </row>
    <row r="365">
      <c r="M365" s="23" t="n"/>
      <c r="N365" s="23" t="n"/>
    </row>
    <row r="366">
      <c r="M366" s="23" t="n"/>
      <c r="N366" s="23" t="n"/>
    </row>
    <row r="367">
      <c r="M367" s="23" t="n"/>
      <c r="N367" s="23" t="n"/>
    </row>
    <row r="368">
      <c r="M368" s="23" t="n"/>
      <c r="N368" s="23" t="n"/>
    </row>
    <row r="369">
      <c r="M369" s="23" t="n"/>
      <c r="N369" s="23" t="n"/>
    </row>
    <row r="370">
      <c r="M370" s="23" t="n"/>
      <c r="N370" s="23" t="n"/>
    </row>
    <row r="371">
      <c r="M371" s="23" t="n"/>
      <c r="N371" s="23" t="n"/>
    </row>
    <row r="372">
      <c r="M372" s="23" t="n"/>
      <c r="N372" s="23" t="n"/>
    </row>
    <row r="373">
      <c r="M373" s="23" t="n"/>
      <c r="N373" s="23" t="n"/>
    </row>
    <row r="374">
      <c r="M374" s="23" t="n"/>
      <c r="N374" s="23" t="n"/>
    </row>
    <row r="375">
      <c r="M375" s="23" t="n"/>
      <c r="N375" s="23" t="n"/>
    </row>
    <row r="376">
      <c r="M376" s="23" t="n"/>
      <c r="N376" s="23" t="n"/>
    </row>
    <row r="377">
      <c r="M377" s="23" t="n"/>
      <c r="N377" s="23" t="n"/>
    </row>
    <row r="378">
      <c r="M378" s="23" t="n"/>
      <c r="N378" s="23" t="n"/>
    </row>
    <row r="379">
      <c r="M379" s="23" t="n"/>
      <c r="N379" s="23" t="n"/>
    </row>
    <row r="380">
      <c r="M380" s="23" t="n"/>
      <c r="N380" s="23" t="n"/>
    </row>
    <row r="381">
      <c r="M381" s="23" t="n"/>
      <c r="N381" s="23" t="n"/>
    </row>
    <row r="382">
      <c r="M382" s="23" t="n"/>
      <c r="N382" s="23" t="n"/>
    </row>
    <row r="383">
      <c r="M383" s="23" t="n"/>
      <c r="N383" s="23" t="n"/>
    </row>
    <row r="384">
      <c r="M384" s="23" t="n"/>
      <c r="N384" s="23" t="n"/>
    </row>
    <row r="385">
      <c r="M385" s="23" t="n"/>
      <c r="N385" s="23" t="n"/>
    </row>
    <row r="386">
      <c r="M386" s="23" t="n"/>
      <c r="N386" s="23" t="n"/>
    </row>
    <row r="387">
      <c r="M387" s="23" t="n"/>
      <c r="N387" s="23" t="n"/>
    </row>
    <row r="388">
      <c r="M388" s="23" t="n"/>
      <c r="N388" s="23" t="n"/>
    </row>
    <row r="389">
      <c r="M389" s="23" t="n"/>
      <c r="N389" s="23" t="n"/>
    </row>
    <row r="390">
      <c r="M390" s="23" t="n"/>
      <c r="N390" s="23" t="n"/>
    </row>
    <row r="391">
      <c r="M391" s="23" t="n"/>
      <c r="N391" s="23" t="n"/>
    </row>
    <row r="392">
      <c r="M392" s="23" t="n"/>
      <c r="N392" s="23" t="n"/>
    </row>
    <row r="393">
      <c r="M393" s="23" t="n"/>
      <c r="N393" s="23" t="n"/>
    </row>
    <row r="394">
      <c r="M394" s="23" t="n"/>
      <c r="N394" s="23" t="n"/>
    </row>
    <row r="395">
      <c r="M395" s="23" t="n"/>
      <c r="N395" s="23" t="n"/>
    </row>
    <row r="396">
      <c r="M396" s="23" t="n"/>
      <c r="N396" s="23" t="n"/>
    </row>
    <row r="397">
      <c r="M397" s="23" t="n"/>
      <c r="N397" s="23" t="n"/>
    </row>
    <row r="398">
      <c r="M398" s="23" t="n"/>
      <c r="N398" s="23" t="n"/>
    </row>
    <row r="399">
      <c r="M399" s="23" t="n"/>
      <c r="N399" s="23" t="n"/>
    </row>
    <row r="400">
      <c r="M400" s="23" t="n"/>
      <c r="N400" s="23" t="n"/>
    </row>
    <row r="401">
      <c r="M401" s="23" t="n"/>
      <c r="N401" s="23" t="n"/>
    </row>
    <row r="402">
      <c r="M402" s="23" t="n"/>
      <c r="N402" s="23" t="n"/>
    </row>
    <row r="403">
      <c r="M403" s="23" t="n"/>
      <c r="N403" s="23" t="n"/>
    </row>
    <row r="404">
      <c r="M404" s="23" t="n"/>
      <c r="N404" s="23" t="n"/>
    </row>
    <row r="405">
      <c r="M405" s="23" t="n"/>
      <c r="N405" s="23" t="n"/>
    </row>
    <row r="406">
      <c r="M406" s="23" t="n"/>
      <c r="N406" s="23" t="n"/>
    </row>
    <row r="407">
      <c r="M407" s="23" t="n"/>
      <c r="N407" s="23" t="n"/>
    </row>
    <row r="408">
      <c r="M408" s="23" t="n"/>
      <c r="N408" s="23" t="n"/>
    </row>
    <row r="409">
      <c r="M409" s="23" t="n"/>
      <c r="N409" s="23" t="n"/>
    </row>
    <row r="410">
      <c r="M410" s="23" t="n"/>
      <c r="N410" s="23" t="n"/>
    </row>
    <row r="411">
      <c r="M411" s="23" t="n"/>
      <c r="N411" s="23" t="n"/>
    </row>
    <row r="412">
      <c r="M412" s="23" t="n"/>
      <c r="N412" s="23" t="n"/>
    </row>
    <row r="413">
      <c r="M413" s="23" t="n"/>
      <c r="N413" s="23" t="n"/>
    </row>
    <row r="414">
      <c r="M414" s="23" t="n"/>
      <c r="N414" s="23" t="n"/>
    </row>
    <row r="415">
      <c r="M415" s="23" t="n"/>
      <c r="N415" s="23" t="n"/>
    </row>
    <row r="416">
      <c r="M416" s="23" t="n"/>
      <c r="N416" s="23" t="n"/>
    </row>
    <row r="417">
      <c r="M417" s="23" t="n"/>
      <c r="N417" s="23" t="n"/>
    </row>
    <row r="418">
      <c r="M418" s="23" t="n"/>
      <c r="N418" s="23" t="n"/>
    </row>
    <row r="419">
      <c r="M419" s="23" t="n"/>
      <c r="N419" s="23" t="n"/>
    </row>
    <row r="420">
      <c r="M420" s="23" t="n"/>
      <c r="N420" s="23" t="n"/>
    </row>
    <row r="421">
      <c r="M421" s="23" t="n"/>
      <c r="N421" s="23" t="n"/>
    </row>
    <row r="422">
      <c r="M422" s="23" t="n"/>
      <c r="N422" s="23" t="n"/>
    </row>
    <row r="423">
      <c r="M423" s="23" t="n"/>
      <c r="N423" s="23" t="n"/>
    </row>
    <row r="424">
      <c r="M424" s="23" t="n"/>
      <c r="N424" s="23" t="n"/>
    </row>
    <row r="425">
      <c r="M425" s="23" t="n"/>
      <c r="N425" s="23" t="n"/>
    </row>
    <row r="426">
      <c r="M426" s="23" t="n"/>
      <c r="N426" s="23" t="n"/>
    </row>
    <row r="427">
      <c r="M427" s="23" t="n"/>
      <c r="N427" s="23" t="n"/>
    </row>
    <row r="428">
      <c r="M428" s="23" t="n"/>
      <c r="N428" s="23" t="n"/>
    </row>
    <row r="429">
      <c r="M429" s="23" t="n"/>
      <c r="N429" s="23" t="n"/>
    </row>
    <row r="430">
      <c r="M430" s="23" t="n"/>
      <c r="N430" s="23" t="n"/>
    </row>
    <row r="431">
      <c r="M431" s="23" t="n"/>
      <c r="N431" s="23" t="n"/>
    </row>
    <row r="432">
      <c r="M432" s="23" t="n"/>
      <c r="N432" s="23" t="n"/>
    </row>
    <row r="433">
      <c r="M433" s="23" t="n"/>
      <c r="N433" s="23" t="n"/>
    </row>
    <row r="434">
      <c r="M434" s="23" t="n"/>
      <c r="N434" s="23" t="n"/>
    </row>
    <row r="435">
      <c r="M435" s="23" t="n"/>
      <c r="N435" s="23" t="n"/>
    </row>
    <row r="436">
      <c r="M436" s="23" t="n"/>
      <c r="N436" s="23" t="n"/>
    </row>
    <row r="437">
      <c r="M437" s="23" t="n"/>
      <c r="N437" s="23" t="n"/>
    </row>
    <row r="438">
      <c r="M438" s="23" t="n"/>
      <c r="N438" s="23" t="n"/>
    </row>
    <row r="439">
      <c r="M439" s="23" t="n"/>
      <c r="N439" s="23" t="n"/>
    </row>
    <row r="440">
      <c r="M440" s="23" t="n"/>
      <c r="N440" s="23" t="n"/>
    </row>
    <row r="441">
      <c r="M441" s="23" t="n"/>
      <c r="N441" s="23" t="n"/>
    </row>
    <row r="442">
      <c r="M442" s="23" t="n"/>
      <c r="N442" s="23" t="n"/>
    </row>
    <row r="443">
      <c r="M443" s="23" t="n"/>
      <c r="N443" s="23" t="n"/>
    </row>
    <row r="444">
      <c r="M444" s="23" t="n"/>
      <c r="N444" s="23" t="n"/>
    </row>
    <row r="445">
      <c r="M445" s="23" t="n"/>
      <c r="N445" s="23" t="n"/>
    </row>
    <row r="446">
      <c r="M446" s="23" t="n"/>
      <c r="N446" s="23" t="n"/>
    </row>
    <row r="447">
      <c r="M447" s="23" t="n"/>
      <c r="N447" s="23" t="n"/>
    </row>
    <row r="448">
      <c r="M448" s="23" t="n"/>
      <c r="N448" s="23" t="n"/>
    </row>
    <row r="449">
      <c r="M449" s="23" t="n"/>
      <c r="N449" s="23" t="n"/>
    </row>
    <row r="450">
      <c r="M450" s="23" t="n"/>
      <c r="N450" s="23" t="n"/>
    </row>
    <row r="451">
      <c r="M451" s="23" t="n"/>
      <c r="N451" s="23" t="n"/>
    </row>
    <row r="452">
      <c r="M452" s="23" t="n"/>
      <c r="N452" s="23" t="n"/>
    </row>
    <row r="453">
      <c r="M453" s="23" t="n"/>
      <c r="N453" s="23" t="n"/>
    </row>
    <row r="454">
      <c r="M454" s="23" t="n"/>
      <c r="N454" s="23" t="n"/>
    </row>
    <row r="455">
      <c r="M455" s="23" t="n"/>
      <c r="N455" s="23" t="n"/>
    </row>
    <row r="456">
      <c r="M456" s="23" t="n"/>
      <c r="N456" s="23" t="n"/>
    </row>
    <row r="457">
      <c r="M457" s="23" t="n"/>
      <c r="N457" s="23" t="n"/>
    </row>
    <row r="458">
      <c r="M458" s="23" t="n"/>
      <c r="N458" s="23" t="n"/>
    </row>
    <row r="459">
      <c r="M459" s="23" t="n"/>
      <c r="N459" s="23" t="n"/>
    </row>
    <row r="460">
      <c r="M460" s="23" t="n"/>
      <c r="N460" s="23" t="n"/>
    </row>
    <row r="461">
      <c r="M461" s="23" t="n"/>
      <c r="N461" s="23" t="n"/>
    </row>
    <row r="462">
      <c r="M462" s="23" t="n"/>
      <c r="N462" s="23" t="n"/>
    </row>
    <row r="463">
      <c r="M463" s="23" t="n"/>
      <c r="N463" s="23" t="n"/>
    </row>
    <row r="464">
      <c r="M464" s="23" t="n"/>
      <c r="N464" s="23" t="n"/>
    </row>
    <row r="465">
      <c r="M465" s="23" t="n"/>
      <c r="N465" s="23" t="n"/>
    </row>
    <row r="466">
      <c r="M466" s="23" t="n"/>
      <c r="N466" s="23" t="n"/>
    </row>
    <row r="467">
      <c r="M467" s="23" t="n"/>
      <c r="N467" s="23" t="n"/>
    </row>
    <row r="468">
      <c r="M468" s="23" t="n"/>
      <c r="N468" s="23" t="n"/>
    </row>
    <row r="469">
      <c r="M469" s="23" t="n"/>
      <c r="N469" s="23" t="n"/>
    </row>
    <row r="470">
      <c r="M470" s="23" t="n"/>
      <c r="N470" s="23" t="n"/>
    </row>
    <row r="471">
      <c r="M471" s="23" t="n"/>
      <c r="N471" s="23" t="n"/>
    </row>
    <row r="472">
      <c r="M472" s="23" t="n"/>
      <c r="N472" s="23" t="n"/>
    </row>
    <row r="473">
      <c r="M473" s="23" t="n"/>
      <c r="N473" s="23" t="n"/>
    </row>
    <row r="474">
      <c r="M474" s="23" t="n"/>
      <c r="N474" s="23" t="n"/>
    </row>
    <row r="475">
      <c r="M475" s="23" t="n"/>
      <c r="N475" s="23" t="n"/>
    </row>
    <row r="476">
      <c r="M476" s="23" t="n"/>
      <c r="N476" s="23" t="n"/>
    </row>
    <row r="477">
      <c r="M477" s="23" t="n"/>
      <c r="N477" s="23" t="n"/>
    </row>
    <row r="478">
      <c r="M478" s="23" t="n"/>
      <c r="N478" s="23" t="n"/>
    </row>
    <row r="479">
      <c r="M479" s="23" t="n"/>
      <c r="N479" s="23" t="n"/>
    </row>
    <row r="480">
      <c r="M480" s="23" t="n"/>
      <c r="N480" s="23" t="n"/>
    </row>
    <row r="481">
      <c r="M481" s="23" t="n"/>
      <c r="N481" s="23" t="n"/>
    </row>
    <row r="482">
      <c r="M482" s="23" t="n"/>
      <c r="N482" s="23" t="n"/>
    </row>
    <row r="483">
      <c r="M483" s="23" t="n"/>
      <c r="N483" s="23" t="n"/>
    </row>
    <row r="484">
      <c r="M484" s="23" t="n"/>
      <c r="N484" s="23" t="n"/>
    </row>
    <row r="485">
      <c r="M485" s="23" t="n"/>
      <c r="N485" s="23" t="n"/>
    </row>
    <row r="486">
      <c r="M486" s="23" t="n"/>
      <c r="N486" s="23" t="n"/>
    </row>
    <row r="487">
      <c r="M487" s="23" t="n"/>
      <c r="N487" s="23" t="n"/>
    </row>
    <row r="488">
      <c r="M488" s="23" t="n"/>
      <c r="N488" s="23" t="n"/>
    </row>
    <row r="489">
      <c r="M489" s="23" t="n"/>
      <c r="N489" s="23" t="n"/>
    </row>
    <row r="490">
      <c r="M490" s="23" t="n"/>
      <c r="N490" s="23" t="n"/>
    </row>
    <row r="491">
      <c r="M491" s="23" t="n"/>
      <c r="N491" s="23" t="n"/>
    </row>
    <row r="492">
      <c r="M492" s="23" t="n"/>
      <c r="N492" s="23" t="n"/>
    </row>
    <row r="493">
      <c r="M493" s="23" t="n"/>
      <c r="N493" s="23" t="n"/>
    </row>
    <row r="494">
      <c r="M494" s="23" t="n"/>
      <c r="N494" s="23" t="n"/>
    </row>
    <row r="495">
      <c r="M495" s="23" t="n"/>
      <c r="N495" s="23" t="n"/>
    </row>
    <row r="496">
      <c r="M496" s="23" t="n"/>
      <c r="N496" s="23" t="n"/>
    </row>
    <row r="497">
      <c r="M497" s="23" t="n"/>
      <c r="N497" s="23" t="n"/>
    </row>
    <row r="498">
      <c r="M498" s="23" t="n"/>
      <c r="N498" s="23" t="n"/>
    </row>
    <row r="499">
      <c r="M499" s="23" t="n"/>
      <c r="N499" s="23" t="n"/>
    </row>
    <row r="500">
      <c r="M500" s="23" t="n"/>
      <c r="N500" s="23" t="n"/>
    </row>
    <row r="501">
      <c r="M501" s="23" t="n"/>
      <c r="N501" s="23" t="n"/>
    </row>
    <row r="502">
      <c r="M502" s="23" t="n"/>
      <c r="N502" s="23" t="n"/>
    </row>
    <row r="503">
      <c r="M503" s="23" t="n"/>
      <c r="N503" s="23" t="n"/>
    </row>
    <row r="504">
      <c r="M504" s="23" t="n"/>
      <c r="N504" s="23" t="n"/>
    </row>
    <row r="505">
      <c r="M505" s="23" t="n"/>
      <c r="N505" s="23" t="n"/>
    </row>
    <row r="506">
      <c r="M506" s="23" t="n"/>
      <c r="N506" s="23" t="n"/>
    </row>
    <row r="507">
      <c r="M507" s="23" t="n"/>
      <c r="N507" s="23" t="n"/>
    </row>
    <row r="508">
      <c r="M508" s="23" t="n"/>
      <c r="N508" s="23" t="n"/>
    </row>
    <row r="509">
      <c r="M509" s="23" t="n"/>
      <c r="N509" s="23" t="n"/>
    </row>
    <row r="510">
      <c r="M510" s="23" t="n"/>
      <c r="N510" s="23" t="n"/>
    </row>
    <row r="511">
      <c r="M511" s="23" t="n"/>
      <c r="N511" s="23" t="n"/>
    </row>
    <row r="512">
      <c r="M512" s="23" t="n"/>
      <c r="N512" s="23" t="n"/>
    </row>
    <row r="513">
      <c r="M513" s="23" t="n"/>
      <c r="N513" s="23" t="n"/>
    </row>
    <row r="514">
      <c r="M514" s="23" t="n"/>
      <c r="N514" s="23" t="n"/>
    </row>
    <row r="515">
      <c r="M515" s="23" t="n"/>
      <c r="N515" s="23" t="n"/>
    </row>
    <row r="516">
      <c r="M516" s="23" t="n"/>
      <c r="N516" s="23" t="n"/>
    </row>
    <row r="517">
      <c r="M517" s="23" t="n"/>
      <c r="N517" s="23" t="n"/>
    </row>
    <row r="518">
      <c r="M518" s="23" t="n"/>
      <c r="N518" s="23" t="n"/>
    </row>
    <row r="519">
      <c r="M519" s="23" t="n"/>
      <c r="N519" s="23" t="n"/>
    </row>
    <row r="520">
      <c r="M520" s="23" t="n"/>
      <c r="N520" s="23" t="n"/>
    </row>
    <row r="521">
      <c r="M521" s="23" t="n"/>
      <c r="N521" s="23" t="n"/>
    </row>
    <row r="522">
      <c r="M522" s="23" t="n"/>
      <c r="N522" s="23" t="n"/>
    </row>
    <row r="523">
      <c r="M523" s="23" t="n"/>
      <c r="N523" s="23" t="n"/>
    </row>
    <row r="524">
      <c r="M524" s="23" t="n"/>
      <c r="N524" s="23" t="n"/>
    </row>
    <row r="525">
      <c r="M525" s="23" t="n"/>
      <c r="N525" s="23" t="n"/>
    </row>
    <row r="526">
      <c r="M526" s="23" t="n"/>
      <c r="N526" s="23" t="n"/>
    </row>
    <row r="527">
      <c r="M527" s="23" t="n"/>
      <c r="N527" s="23" t="n"/>
    </row>
    <row r="528">
      <c r="M528" s="23" t="n"/>
      <c r="N528" s="23" t="n"/>
    </row>
    <row r="529">
      <c r="M529" s="23" t="n"/>
      <c r="N529" s="23" t="n"/>
    </row>
    <row r="530">
      <c r="M530" s="23" t="n"/>
      <c r="N530" s="23" t="n"/>
    </row>
    <row r="531">
      <c r="M531" s="23" t="n"/>
      <c r="N531" s="23" t="n"/>
    </row>
    <row r="532">
      <c r="M532" s="23" t="n"/>
      <c r="N532" s="23" t="n"/>
    </row>
    <row r="533">
      <c r="M533" s="23" t="n"/>
      <c r="N533" s="23" t="n"/>
    </row>
    <row r="534">
      <c r="M534" s="23" t="n"/>
      <c r="N534" s="23" t="n"/>
    </row>
    <row r="535">
      <c r="M535" s="23" t="n"/>
      <c r="N535" s="23" t="n"/>
    </row>
    <row r="536">
      <c r="M536" s="23" t="n"/>
      <c r="N536" s="23" t="n"/>
    </row>
    <row r="537">
      <c r="M537" s="23" t="n"/>
      <c r="N537" s="23" t="n"/>
    </row>
    <row r="538">
      <c r="M538" s="23" t="n"/>
      <c r="N538" s="23" t="n"/>
    </row>
    <row r="539">
      <c r="M539" s="23" t="n"/>
      <c r="N539" s="23" t="n"/>
    </row>
    <row r="540">
      <c r="M540" s="23" t="n"/>
      <c r="N540" s="23" t="n"/>
    </row>
    <row r="541">
      <c r="M541" s="23" t="n"/>
      <c r="N541" s="23" t="n"/>
    </row>
    <row r="542">
      <c r="M542" s="23" t="n"/>
      <c r="N542" s="23" t="n"/>
    </row>
    <row r="543">
      <c r="M543" s="23" t="n"/>
      <c r="N543" s="23" t="n"/>
    </row>
    <row r="544">
      <c r="M544" s="23" t="n"/>
      <c r="N544" s="23" t="n"/>
    </row>
    <row r="545">
      <c r="M545" s="23" t="n"/>
      <c r="N545" s="23" t="n"/>
    </row>
    <row r="546">
      <c r="M546" s="23" t="n"/>
      <c r="N546" s="23" t="n"/>
    </row>
    <row r="547">
      <c r="M547" s="23" t="n"/>
      <c r="N547" s="23" t="n"/>
    </row>
    <row r="548">
      <c r="M548" s="23" t="n"/>
      <c r="N548" s="23" t="n"/>
    </row>
    <row r="549">
      <c r="M549" s="23" t="n"/>
      <c r="N549" s="23" t="n"/>
    </row>
    <row r="550">
      <c r="M550" s="23" t="n"/>
      <c r="N550" s="23" t="n"/>
    </row>
    <row r="551">
      <c r="M551" s="23" t="n"/>
      <c r="N551" s="23" t="n"/>
    </row>
    <row r="552">
      <c r="M552" s="23" t="n"/>
      <c r="N552" s="23" t="n"/>
    </row>
    <row r="553">
      <c r="M553" s="23" t="n"/>
      <c r="N553" s="23" t="n"/>
    </row>
    <row r="554">
      <c r="M554" s="23" t="n"/>
      <c r="N554" s="23" t="n"/>
    </row>
    <row r="555">
      <c r="M555" s="23" t="n"/>
      <c r="N555" s="23" t="n"/>
    </row>
    <row r="556">
      <c r="M556" s="23" t="n"/>
      <c r="N556" s="23" t="n"/>
    </row>
    <row r="557">
      <c r="M557" s="23" t="n"/>
      <c r="N557" s="23" t="n"/>
    </row>
    <row r="558">
      <c r="M558" s="23" t="n"/>
      <c r="N558" s="23" t="n"/>
    </row>
    <row r="559">
      <c r="M559" s="23" t="n"/>
      <c r="N559" s="23" t="n"/>
    </row>
    <row r="560">
      <c r="M560" s="23" t="n"/>
      <c r="N560" s="23" t="n"/>
    </row>
    <row r="561">
      <c r="M561" s="23" t="n"/>
      <c r="N561" s="23" t="n"/>
    </row>
    <row r="562">
      <c r="M562" s="23" t="n"/>
      <c r="N562" s="23" t="n"/>
    </row>
    <row r="563">
      <c r="M563" s="23" t="n"/>
      <c r="N563" s="23" t="n"/>
    </row>
    <row r="564">
      <c r="M564" s="23" t="n"/>
      <c r="N564" s="23" t="n"/>
    </row>
    <row r="565">
      <c r="M565" s="23" t="n"/>
      <c r="N565" s="23" t="n"/>
    </row>
    <row r="566">
      <c r="M566" s="23" t="n"/>
      <c r="N566" s="23" t="n"/>
    </row>
    <row r="567">
      <c r="M567" s="23" t="n"/>
      <c r="N567" s="23" t="n"/>
    </row>
    <row r="568">
      <c r="M568" s="23" t="n"/>
      <c r="N568" s="23" t="n"/>
    </row>
    <row r="569">
      <c r="M569" s="23" t="n"/>
      <c r="N569" s="23" t="n"/>
    </row>
    <row r="570">
      <c r="M570" s="23" t="n"/>
      <c r="N570" s="23" t="n"/>
    </row>
    <row r="571">
      <c r="M571" s="23" t="n"/>
      <c r="N571" s="23" t="n"/>
    </row>
    <row r="572">
      <c r="M572" s="23" t="n"/>
      <c r="N572" s="23" t="n"/>
    </row>
    <row r="573">
      <c r="M573" s="23" t="n"/>
      <c r="N573" s="23" t="n"/>
    </row>
    <row r="574">
      <c r="M574" s="23" t="n"/>
      <c r="N574" s="23" t="n"/>
    </row>
    <row r="575">
      <c r="M575" s="23" t="n"/>
      <c r="N575" s="23" t="n"/>
    </row>
    <row r="576">
      <c r="M576" s="23" t="n"/>
      <c r="N576" s="23" t="n"/>
    </row>
    <row r="577">
      <c r="M577" s="23" t="n"/>
      <c r="N577" s="23" t="n"/>
    </row>
    <row r="578">
      <c r="M578" s="23" t="n"/>
      <c r="N578" s="23" t="n"/>
    </row>
    <row r="579">
      <c r="M579" s="23" t="n"/>
      <c r="N579" s="23" t="n"/>
    </row>
    <row r="580">
      <c r="M580" s="23" t="n"/>
      <c r="N580" s="23" t="n"/>
    </row>
    <row r="581">
      <c r="M581" s="23" t="n"/>
      <c r="N581" s="23" t="n"/>
    </row>
    <row r="582">
      <c r="M582" s="23" t="n"/>
      <c r="N582" s="23" t="n"/>
    </row>
    <row r="583">
      <c r="M583" s="23" t="n"/>
      <c r="N583" s="23" t="n"/>
    </row>
    <row r="584">
      <c r="M584" s="23" t="n"/>
      <c r="N584" s="23" t="n"/>
    </row>
    <row r="585">
      <c r="M585" s="23" t="n"/>
      <c r="N585" s="23" t="n"/>
    </row>
    <row r="586">
      <c r="M586" s="23" t="n"/>
      <c r="N586" s="23" t="n"/>
    </row>
    <row r="587">
      <c r="M587" s="23" t="n"/>
      <c r="N587" s="23" t="n"/>
    </row>
    <row r="588">
      <c r="M588" s="23" t="n"/>
      <c r="N588" s="23" t="n"/>
    </row>
    <row r="589">
      <c r="M589" s="23" t="n"/>
      <c r="N589" s="23" t="n"/>
    </row>
    <row r="590">
      <c r="M590" s="23" t="n"/>
      <c r="N590" s="23" t="n"/>
    </row>
    <row r="591">
      <c r="M591" s="23" t="n"/>
      <c r="N591" s="23" t="n"/>
    </row>
    <row r="592">
      <c r="M592" s="23" t="n"/>
      <c r="N592" s="23" t="n"/>
    </row>
    <row r="593">
      <c r="M593" s="23" t="n"/>
      <c r="N593" s="23" t="n"/>
    </row>
    <row r="594">
      <c r="M594" s="23" t="n"/>
      <c r="N594" s="23" t="n"/>
    </row>
    <row r="595">
      <c r="M595" s="23" t="n"/>
      <c r="N595" s="23" t="n"/>
    </row>
    <row r="596">
      <c r="M596" s="23" t="n"/>
      <c r="N596" s="23" t="n"/>
    </row>
    <row r="597">
      <c r="M597" s="23" t="n"/>
      <c r="N597" s="23" t="n"/>
    </row>
    <row r="598">
      <c r="M598" s="23" t="n"/>
      <c r="N598" s="23" t="n"/>
    </row>
    <row r="599">
      <c r="M599" s="23" t="n"/>
      <c r="N599" s="23" t="n"/>
    </row>
    <row r="600">
      <c r="M600" s="23" t="n"/>
      <c r="N600" s="23" t="n"/>
    </row>
    <row r="601">
      <c r="M601" s="23" t="n"/>
      <c r="N601" s="23" t="n"/>
    </row>
    <row r="602">
      <c r="M602" s="23" t="n"/>
      <c r="N602" s="23" t="n"/>
    </row>
    <row r="603">
      <c r="M603" s="23" t="n"/>
      <c r="N603" s="23" t="n"/>
    </row>
    <row r="604">
      <c r="M604" s="23" t="n"/>
      <c r="N604" s="23" t="n"/>
    </row>
    <row r="605">
      <c r="M605" s="23" t="n"/>
      <c r="N605" s="23" t="n"/>
    </row>
    <row r="606">
      <c r="M606" s="23" t="n"/>
      <c r="N606" s="23" t="n"/>
    </row>
    <row r="607">
      <c r="M607" s="23" t="n"/>
      <c r="N607" s="23" t="n"/>
    </row>
    <row r="608">
      <c r="M608" s="23" t="n"/>
      <c r="N608" s="23" t="n"/>
    </row>
    <row r="609">
      <c r="M609" s="23" t="n"/>
      <c r="N609" s="23" t="n"/>
    </row>
    <row r="610">
      <c r="M610" s="23" t="n"/>
      <c r="N610" s="23" t="n"/>
    </row>
    <row r="611">
      <c r="M611" s="23" t="n"/>
      <c r="N611" s="23" t="n"/>
    </row>
    <row r="612">
      <c r="M612" s="23" t="n"/>
      <c r="N612" s="23" t="n"/>
    </row>
    <row r="613">
      <c r="M613" s="23" t="n"/>
      <c r="N613" s="23" t="n"/>
    </row>
    <row r="614">
      <c r="M614" s="23" t="n"/>
      <c r="N614" s="23" t="n"/>
    </row>
    <row r="615">
      <c r="M615" s="23" t="n"/>
      <c r="N615" s="23" t="n"/>
    </row>
    <row r="616">
      <c r="M616" s="23" t="n"/>
      <c r="N616" s="23" t="n"/>
    </row>
    <row r="617">
      <c r="M617" s="23" t="n"/>
      <c r="N617" s="23" t="n"/>
    </row>
    <row r="618">
      <c r="M618" s="23" t="n"/>
      <c r="N618" s="23" t="n"/>
    </row>
    <row r="619">
      <c r="M619" s="23" t="n"/>
      <c r="N619" s="23" t="n"/>
    </row>
    <row r="620">
      <c r="M620" s="23" t="n"/>
      <c r="N620" s="23" t="n"/>
    </row>
    <row r="621">
      <c r="M621" s="23" t="n"/>
      <c r="N621" s="23" t="n"/>
    </row>
    <row r="622">
      <c r="M622" s="23" t="n"/>
      <c r="N622" s="23" t="n"/>
    </row>
    <row r="623">
      <c r="M623" s="23" t="n"/>
      <c r="N623" s="23" t="n"/>
    </row>
    <row r="624">
      <c r="M624" s="23" t="n"/>
      <c r="N624" s="23" t="n"/>
    </row>
    <row r="625">
      <c r="M625" s="23" t="n"/>
      <c r="N625" s="23" t="n"/>
    </row>
    <row r="626">
      <c r="M626" s="23" t="n"/>
      <c r="N626" s="23" t="n"/>
    </row>
    <row r="627">
      <c r="M627" s="23" t="n"/>
      <c r="N627" s="23" t="n"/>
    </row>
    <row r="628">
      <c r="M628" s="23" t="n"/>
      <c r="N628" s="23" t="n"/>
    </row>
    <row r="629">
      <c r="M629" s="23" t="n"/>
      <c r="N629" s="23" t="n"/>
    </row>
    <row r="630">
      <c r="M630" s="23" t="n"/>
      <c r="N630" s="23" t="n"/>
    </row>
    <row r="631">
      <c r="M631" s="23" t="n"/>
      <c r="N631" s="23" t="n"/>
    </row>
    <row r="632">
      <c r="M632" s="23" t="n"/>
      <c r="N632" s="23" t="n"/>
    </row>
    <row r="633">
      <c r="M633" s="23" t="n"/>
      <c r="N633" s="23" t="n"/>
    </row>
    <row r="634">
      <c r="M634" s="23" t="n"/>
      <c r="N634" s="23" t="n"/>
    </row>
    <row r="635">
      <c r="M635" s="23" t="n"/>
      <c r="N635" s="23" t="n"/>
    </row>
    <row r="636">
      <c r="M636" s="23" t="n"/>
      <c r="N636" s="23" t="n"/>
    </row>
    <row r="637">
      <c r="M637" s="23" t="n"/>
      <c r="N637" s="23" t="n"/>
    </row>
    <row r="638">
      <c r="M638" s="23" t="n"/>
      <c r="N638" s="23" t="n"/>
    </row>
    <row r="639">
      <c r="M639" s="23" t="n"/>
      <c r="N639" s="23" t="n"/>
    </row>
    <row r="640">
      <c r="M640" s="23" t="n"/>
      <c r="N640" s="23" t="n"/>
    </row>
    <row r="641">
      <c r="M641" s="23" t="n"/>
      <c r="N641" s="23" t="n"/>
    </row>
    <row r="642">
      <c r="M642" s="23" t="n"/>
      <c r="N642" s="23" t="n"/>
    </row>
    <row r="643">
      <c r="M643" s="23" t="n"/>
      <c r="N643" s="23" t="n"/>
    </row>
    <row r="644">
      <c r="M644" s="23" t="n"/>
      <c r="N644" s="23" t="n"/>
    </row>
    <row r="645">
      <c r="M645" s="23" t="n"/>
      <c r="N645" s="23" t="n"/>
    </row>
    <row r="646">
      <c r="M646" s="23" t="n"/>
      <c r="N646" s="23" t="n"/>
    </row>
    <row r="647">
      <c r="M647" s="23" t="n"/>
      <c r="N647" s="23" t="n"/>
    </row>
    <row r="648">
      <c r="M648" s="23" t="n"/>
      <c r="N648" s="23" t="n"/>
    </row>
    <row r="649">
      <c r="M649" s="23" t="n"/>
      <c r="N649" s="23" t="n"/>
    </row>
    <row r="650">
      <c r="M650" s="23" t="n"/>
      <c r="N650" s="23" t="n"/>
    </row>
    <row r="651">
      <c r="M651" s="23" t="n"/>
      <c r="N651" s="23" t="n"/>
    </row>
    <row r="652">
      <c r="M652" s="23" t="n"/>
      <c r="N652" s="23" t="n"/>
    </row>
    <row r="653">
      <c r="M653" s="23" t="n"/>
      <c r="N653" s="23" t="n"/>
    </row>
    <row r="654">
      <c r="M654" s="23" t="n"/>
      <c r="N654" s="23" t="n"/>
    </row>
    <row r="655">
      <c r="M655" s="23" t="n"/>
      <c r="N655" s="23" t="n"/>
    </row>
    <row r="656">
      <c r="M656" s="23" t="n"/>
      <c r="N656" s="23" t="n"/>
    </row>
    <row r="657">
      <c r="M657" s="23" t="n"/>
      <c r="N657" s="23" t="n"/>
    </row>
    <row r="658">
      <c r="M658" s="23" t="n"/>
      <c r="N658" s="23" t="n"/>
    </row>
    <row r="659">
      <c r="M659" s="23" t="n"/>
      <c r="N659" s="23" t="n"/>
    </row>
    <row r="660">
      <c r="M660" s="23" t="n"/>
      <c r="N660" s="23" t="n"/>
    </row>
    <row r="661">
      <c r="M661" s="23" t="n"/>
      <c r="N661" s="23" t="n"/>
    </row>
    <row r="662">
      <c r="M662" s="23" t="n"/>
      <c r="N662" s="23" t="n"/>
    </row>
    <row r="663">
      <c r="M663" s="23" t="n"/>
      <c r="N663" s="23" t="n"/>
    </row>
    <row r="664">
      <c r="M664" s="23" t="n"/>
      <c r="N664" s="23" t="n"/>
    </row>
    <row r="665">
      <c r="M665" s="23" t="n"/>
      <c r="N665" s="23" t="n"/>
    </row>
    <row r="666">
      <c r="M666" s="23" t="n"/>
      <c r="N666" s="23" t="n"/>
    </row>
    <row r="667">
      <c r="M667" s="23" t="n"/>
      <c r="N667" s="23" t="n"/>
    </row>
    <row r="668">
      <c r="M668" s="23" t="n"/>
      <c r="N668" s="23" t="n"/>
    </row>
    <row r="669">
      <c r="M669" s="23" t="n"/>
      <c r="N669" s="23" t="n"/>
    </row>
    <row r="670">
      <c r="M670" s="23" t="n"/>
      <c r="N670" s="23" t="n"/>
    </row>
    <row r="671">
      <c r="M671" s="23" t="n"/>
      <c r="N671" s="23" t="n"/>
    </row>
    <row r="672">
      <c r="M672" s="23" t="n"/>
      <c r="N672" s="23" t="n"/>
    </row>
    <row r="673">
      <c r="M673" s="23" t="n"/>
      <c r="N673" s="23" t="n"/>
    </row>
    <row r="674">
      <c r="M674" s="23" t="n"/>
      <c r="N674" s="23" t="n"/>
    </row>
    <row r="675">
      <c r="M675" s="23" t="n"/>
      <c r="N675" s="23" t="n"/>
    </row>
    <row r="676">
      <c r="M676" s="23" t="n"/>
      <c r="N676" s="23" t="n"/>
    </row>
    <row r="677">
      <c r="M677" s="23" t="n"/>
      <c r="N677" s="23" t="n"/>
    </row>
    <row r="678">
      <c r="M678" s="23" t="n"/>
      <c r="N678" s="23" t="n"/>
    </row>
    <row r="679">
      <c r="M679" s="23" t="n"/>
      <c r="N679" s="23" t="n"/>
    </row>
    <row r="680">
      <c r="M680" s="23" t="n"/>
      <c r="N680" s="23" t="n"/>
    </row>
    <row r="681">
      <c r="M681" s="23" t="n"/>
      <c r="N681" s="23" t="n"/>
    </row>
    <row r="682">
      <c r="M682" s="23" t="n"/>
      <c r="N682" s="23" t="n"/>
    </row>
    <row r="683">
      <c r="M683" s="23" t="n"/>
      <c r="N683" s="23" t="n"/>
    </row>
    <row r="684">
      <c r="M684" s="23" t="n"/>
      <c r="N684" s="23" t="n"/>
    </row>
    <row r="685">
      <c r="M685" s="23" t="n"/>
      <c r="N685" s="23" t="n"/>
    </row>
    <row r="686">
      <c r="M686" s="23" t="n"/>
      <c r="N686" s="23" t="n"/>
    </row>
    <row r="687">
      <c r="M687" s="23" t="n"/>
      <c r="N687" s="23" t="n"/>
    </row>
    <row r="688">
      <c r="M688" s="23" t="n"/>
      <c r="N688" s="23" t="n"/>
    </row>
    <row r="689">
      <c r="M689" s="23" t="n"/>
      <c r="N689" s="23" t="n"/>
    </row>
    <row r="690">
      <c r="M690" s="23" t="n"/>
      <c r="N690" s="23" t="n"/>
    </row>
    <row r="691">
      <c r="M691" s="23" t="n"/>
      <c r="N691" s="23" t="n"/>
    </row>
    <row r="692">
      <c r="M692" s="23" t="n"/>
      <c r="N692" s="23" t="n"/>
    </row>
    <row r="693">
      <c r="M693" s="23" t="n"/>
      <c r="N693" s="23" t="n"/>
    </row>
    <row r="694">
      <c r="M694" s="23" t="n"/>
      <c r="N694" s="23" t="n"/>
    </row>
    <row r="695">
      <c r="M695" s="23" t="n"/>
      <c r="N695" s="23" t="n"/>
    </row>
    <row r="696">
      <c r="M696" s="23" t="n"/>
      <c r="N696" s="23" t="n"/>
    </row>
    <row r="697">
      <c r="M697" s="23" t="n"/>
      <c r="N697" s="23" t="n"/>
    </row>
    <row r="698">
      <c r="M698" s="23" t="n"/>
      <c r="N698" s="23" t="n"/>
    </row>
    <row r="699">
      <c r="M699" s="23" t="n"/>
      <c r="N699" s="23" t="n"/>
    </row>
    <row r="700">
      <c r="M700" s="23" t="n"/>
      <c r="N700" s="23" t="n"/>
    </row>
    <row r="701">
      <c r="M701" s="23" t="n"/>
      <c r="N701" s="23" t="n"/>
    </row>
    <row r="702">
      <c r="M702" s="23" t="n"/>
      <c r="N702" s="23" t="n"/>
    </row>
    <row r="703">
      <c r="M703" s="23" t="n"/>
      <c r="N703" s="23" t="n"/>
    </row>
    <row r="704">
      <c r="M704" s="23" t="n"/>
      <c r="N704" s="23" t="n"/>
    </row>
    <row r="705">
      <c r="M705" s="23" t="n"/>
      <c r="N705" s="23" t="n"/>
    </row>
    <row r="706">
      <c r="M706" s="23" t="n"/>
      <c r="N706" s="23" t="n"/>
    </row>
    <row r="707">
      <c r="M707" s="23" t="n"/>
      <c r="N707" s="23" t="n"/>
    </row>
    <row r="708">
      <c r="M708" s="23" t="n"/>
      <c r="N708" s="23" t="n"/>
    </row>
    <row r="709">
      <c r="M709" s="23" t="n"/>
      <c r="N709" s="23" t="n"/>
    </row>
    <row r="710">
      <c r="M710" s="23" t="n"/>
      <c r="N710" s="23" t="n"/>
    </row>
    <row r="711">
      <c r="M711" s="23" t="n"/>
      <c r="N711" s="23" t="n"/>
    </row>
    <row r="712">
      <c r="M712" s="23" t="n"/>
      <c r="N712" s="23" t="n"/>
    </row>
    <row r="713">
      <c r="M713" s="23" t="n"/>
      <c r="N713" s="23" t="n"/>
    </row>
    <row r="714">
      <c r="M714" s="23" t="n"/>
      <c r="N714" s="23" t="n"/>
    </row>
    <row r="715">
      <c r="M715" s="23" t="n"/>
      <c r="N715" s="23" t="n"/>
    </row>
    <row r="716">
      <c r="M716" s="23" t="n"/>
      <c r="N716" s="23" t="n"/>
    </row>
    <row r="717">
      <c r="M717" s="23" t="n"/>
      <c r="N717" s="23" t="n"/>
    </row>
    <row r="718">
      <c r="M718" s="23" t="n"/>
      <c r="N718" s="23" t="n"/>
    </row>
    <row r="719">
      <c r="M719" s="23" t="n"/>
      <c r="N719" s="23" t="n"/>
    </row>
    <row r="720">
      <c r="M720" s="23" t="n"/>
      <c r="N720" s="23" t="n"/>
    </row>
    <row r="721">
      <c r="M721" s="23" t="n"/>
      <c r="N721" s="23" t="n"/>
    </row>
    <row r="722">
      <c r="M722" s="23" t="n"/>
      <c r="N722" s="23" t="n"/>
    </row>
    <row r="723">
      <c r="M723" s="23" t="n"/>
      <c r="N723" s="23" t="n"/>
    </row>
    <row r="724">
      <c r="M724" s="23" t="n"/>
      <c r="N724" s="23" t="n"/>
    </row>
    <row r="725">
      <c r="M725" s="23" t="n"/>
      <c r="N725" s="23" t="n"/>
    </row>
    <row r="726">
      <c r="M726" s="23" t="n"/>
      <c r="N726" s="23" t="n"/>
    </row>
    <row r="727">
      <c r="M727" s="23" t="n"/>
      <c r="N727" s="23" t="n"/>
    </row>
    <row r="728">
      <c r="M728" s="23" t="n"/>
      <c r="N728" s="23" t="n"/>
    </row>
    <row r="729">
      <c r="M729" s="23" t="n"/>
      <c r="N729" s="23" t="n"/>
    </row>
    <row r="730">
      <c r="M730" s="23" t="n"/>
      <c r="N730" s="23" t="n"/>
    </row>
    <row r="731">
      <c r="M731" s="23" t="n"/>
      <c r="N731" s="23" t="n"/>
    </row>
    <row r="732">
      <c r="M732" s="23" t="n"/>
      <c r="N732" s="23" t="n"/>
    </row>
    <row r="733">
      <c r="M733" s="23" t="n"/>
      <c r="N733" s="23" t="n"/>
    </row>
    <row r="734">
      <c r="M734" s="23" t="n"/>
      <c r="N734" s="23" t="n"/>
    </row>
    <row r="735">
      <c r="M735" s="23" t="n"/>
      <c r="N735" s="23" t="n"/>
    </row>
    <row r="736">
      <c r="M736" s="23" t="n"/>
      <c r="N736" s="23" t="n"/>
    </row>
    <row r="737">
      <c r="M737" s="23" t="n"/>
      <c r="N737" s="23" t="n"/>
    </row>
    <row r="738">
      <c r="M738" s="23" t="n"/>
      <c r="N738" s="23" t="n"/>
    </row>
    <row r="739">
      <c r="M739" s="23" t="n"/>
      <c r="N739" s="23" t="n"/>
    </row>
    <row r="740">
      <c r="M740" s="23" t="n"/>
      <c r="N740" s="23" t="n"/>
    </row>
    <row r="741">
      <c r="M741" s="23" t="n"/>
      <c r="N741" s="23" t="n"/>
    </row>
    <row r="742">
      <c r="M742" s="23" t="n"/>
      <c r="N742" s="23" t="n"/>
    </row>
    <row r="743">
      <c r="M743" s="23" t="n"/>
      <c r="N743" s="23" t="n"/>
    </row>
    <row r="744">
      <c r="M744" s="23" t="n"/>
      <c r="N744" s="23" t="n"/>
    </row>
    <row r="745">
      <c r="M745" s="23" t="n"/>
      <c r="N745" s="23" t="n"/>
    </row>
    <row r="746">
      <c r="M746" s="23" t="n"/>
      <c r="N746" s="23" t="n"/>
    </row>
    <row r="747">
      <c r="M747" s="23" t="n"/>
      <c r="N747" s="23" t="n"/>
    </row>
    <row r="748">
      <c r="M748" s="23" t="n"/>
      <c r="N748" s="23" t="n"/>
    </row>
    <row r="749">
      <c r="M749" s="23" t="n"/>
      <c r="N749" s="23" t="n"/>
    </row>
    <row r="750">
      <c r="M750" s="23" t="n"/>
      <c r="N750" s="23" t="n"/>
    </row>
    <row r="751">
      <c r="M751" s="23" t="n"/>
      <c r="N751" s="23" t="n"/>
    </row>
    <row r="752">
      <c r="M752" s="23" t="n"/>
      <c r="N752" s="23" t="n"/>
    </row>
    <row r="753">
      <c r="M753" s="23" t="n"/>
      <c r="N753" s="23" t="n"/>
    </row>
    <row r="754">
      <c r="M754" s="23" t="n"/>
      <c r="N754" s="23" t="n"/>
    </row>
    <row r="755">
      <c r="M755" s="23" t="n"/>
      <c r="N755" s="23" t="n"/>
    </row>
    <row r="756">
      <c r="M756" s="23" t="n"/>
      <c r="N756" s="23" t="n"/>
    </row>
    <row r="757">
      <c r="M757" s="23" t="n"/>
      <c r="N757" s="23" t="n"/>
    </row>
    <row r="758">
      <c r="M758" s="23" t="n"/>
      <c r="N758" s="23" t="n"/>
    </row>
    <row r="759">
      <c r="M759" s="23" t="n"/>
      <c r="N759" s="23" t="n"/>
    </row>
    <row r="760">
      <c r="M760" s="23" t="n"/>
      <c r="N760" s="23" t="n"/>
    </row>
    <row r="761">
      <c r="M761" s="23" t="n"/>
      <c r="N761" s="23" t="n"/>
    </row>
    <row r="762">
      <c r="M762" s="23" t="n"/>
      <c r="N762" s="23" t="n"/>
    </row>
    <row r="763">
      <c r="M763" s="23" t="n"/>
      <c r="N763" s="23" t="n"/>
    </row>
    <row r="764">
      <c r="M764" s="23" t="n"/>
      <c r="N764" s="23" t="n"/>
    </row>
    <row r="765">
      <c r="M765" s="23" t="n"/>
      <c r="N765" s="23" t="n"/>
    </row>
    <row r="766">
      <c r="M766" s="23" t="n"/>
      <c r="N766" s="23" t="n"/>
    </row>
    <row r="767">
      <c r="M767" s="23" t="n"/>
      <c r="N767" s="23" t="n"/>
    </row>
    <row r="768">
      <c r="M768" s="23" t="n"/>
      <c r="N768" s="23" t="n"/>
    </row>
    <row r="769">
      <c r="M769" s="23" t="n"/>
      <c r="N769" s="23" t="n"/>
    </row>
    <row r="770">
      <c r="M770" s="23" t="n"/>
      <c r="N770" s="23" t="n"/>
    </row>
    <row r="771">
      <c r="M771" s="23" t="n"/>
      <c r="N771" s="23" t="n"/>
    </row>
    <row r="772">
      <c r="M772" s="23" t="n"/>
      <c r="N772" s="23" t="n"/>
    </row>
    <row r="773">
      <c r="M773" s="23" t="n"/>
      <c r="N773" s="23" t="n"/>
    </row>
    <row r="774">
      <c r="M774" s="23" t="n"/>
      <c r="N774" s="23" t="n"/>
    </row>
    <row r="775">
      <c r="M775" s="23" t="n"/>
      <c r="N775" s="23" t="n"/>
    </row>
    <row r="776">
      <c r="M776" s="23" t="n"/>
      <c r="N776" s="23" t="n"/>
    </row>
    <row r="777">
      <c r="M777" s="23" t="n"/>
      <c r="N777" s="23" t="n"/>
    </row>
    <row r="778">
      <c r="M778" s="23" t="n"/>
      <c r="N778" s="23" t="n"/>
    </row>
    <row r="779">
      <c r="M779" s="23" t="n"/>
      <c r="N779" s="23" t="n"/>
    </row>
    <row r="780">
      <c r="M780" s="23" t="n"/>
      <c r="N780" s="23" t="n"/>
    </row>
    <row r="781">
      <c r="M781" s="23" t="n"/>
      <c r="N781" s="23" t="n"/>
    </row>
    <row r="782">
      <c r="M782" s="23" t="n"/>
      <c r="N782" s="23" t="n"/>
    </row>
    <row r="783">
      <c r="M783" s="23" t="n"/>
      <c r="N783" s="23" t="n"/>
    </row>
    <row r="784">
      <c r="M784" s="23" t="n"/>
      <c r="N784" s="23" t="n"/>
    </row>
    <row r="785">
      <c r="M785" s="23" t="n"/>
      <c r="N785" s="23" t="n"/>
    </row>
    <row r="786">
      <c r="M786" s="23" t="n"/>
      <c r="N786" s="23" t="n"/>
    </row>
    <row r="787">
      <c r="M787" s="23" t="n"/>
      <c r="N787" s="23" t="n"/>
    </row>
    <row r="788">
      <c r="M788" s="23" t="n"/>
      <c r="N788" s="23" t="n"/>
    </row>
    <row r="789">
      <c r="M789" s="23" t="n"/>
      <c r="N789" s="23" t="n"/>
    </row>
    <row r="790">
      <c r="M790" s="23" t="n"/>
      <c r="N790" s="23" t="n"/>
    </row>
    <row r="791">
      <c r="M791" s="23" t="n"/>
      <c r="N791" s="23" t="n"/>
    </row>
    <row r="792">
      <c r="M792" s="23" t="n"/>
      <c r="N792" s="23" t="n"/>
    </row>
    <row r="793">
      <c r="M793" s="23" t="n"/>
      <c r="N793" s="23" t="n"/>
    </row>
    <row r="794">
      <c r="M794" s="23" t="n"/>
      <c r="N794" s="23" t="n"/>
    </row>
    <row r="795">
      <c r="M795" s="23" t="n"/>
      <c r="N795" s="23" t="n"/>
    </row>
    <row r="796">
      <c r="M796" s="23" t="n"/>
      <c r="N796" s="23" t="n"/>
    </row>
    <row r="797">
      <c r="M797" s="23" t="n"/>
      <c r="N797" s="23" t="n"/>
    </row>
    <row r="798">
      <c r="M798" s="23" t="n"/>
      <c r="N798" s="23" t="n"/>
    </row>
    <row r="799">
      <c r="M799" s="23" t="n"/>
      <c r="N799" s="23" t="n"/>
    </row>
    <row r="800">
      <c r="M800" s="23" t="n"/>
      <c r="N800" s="23" t="n"/>
    </row>
    <row r="801">
      <c r="M801" s="23" t="n"/>
      <c r="N801" s="23" t="n"/>
    </row>
    <row r="802">
      <c r="M802" s="23" t="n"/>
      <c r="N802" s="23" t="n"/>
    </row>
    <row r="803">
      <c r="M803" s="23" t="n"/>
      <c r="N803" s="23" t="n"/>
    </row>
    <row r="804">
      <c r="M804" s="23" t="n"/>
      <c r="N804" s="23" t="n"/>
    </row>
    <row r="805">
      <c r="M805" s="23" t="n"/>
      <c r="N805" s="23" t="n"/>
    </row>
    <row r="806">
      <c r="M806" s="23" t="n"/>
      <c r="N806" s="23" t="n"/>
    </row>
    <row r="807">
      <c r="M807" s="23" t="n"/>
      <c r="N807" s="23" t="n"/>
    </row>
    <row r="808">
      <c r="M808" s="23" t="n"/>
      <c r="N808" s="23" t="n"/>
    </row>
    <row r="809">
      <c r="M809" s="23" t="n"/>
      <c r="N809" s="23" t="n"/>
    </row>
    <row r="810">
      <c r="M810" s="23" t="n"/>
      <c r="N810" s="23" t="n"/>
    </row>
    <row r="811">
      <c r="M811" s="23" t="n"/>
      <c r="N811" s="23" t="n"/>
    </row>
    <row r="812">
      <c r="M812" s="23" t="n"/>
      <c r="N812" s="23" t="n"/>
    </row>
    <row r="813">
      <c r="M813" s="23" t="n"/>
      <c r="N813" s="23" t="n"/>
    </row>
    <row r="814">
      <c r="M814" s="23" t="n"/>
      <c r="N814" s="23" t="n"/>
    </row>
    <row r="815">
      <c r="M815" s="23" t="n"/>
      <c r="N815" s="23" t="n"/>
    </row>
    <row r="816">
      <c r="M816" s="23" t="n"/>
      <c r="N816" s="23" t="n"/>
    </row>
    <row r="817">
      <c r="M817" s="23" t="n"/>
      <c r="N817" s="23" t="n"/>
    </row>
    <row r="818">
      <c r="M818" s="23" t="n"/>
      <c r="N818" s="23" t="n"/>
    </row>
    <row r="819">
      <c r="M819" s="23" t="n"/>
      <c r="N819" s="23" t="n"/>
    </row>
    <row r="820">
      <c r="M820" s="23" t="n"/>
      <c r="N820" s="23" t="n"/>
    </row>
    <row r="821">
      <c r="M821" s="23" t="n"/>
      <c r="N821" s="23" t="n"/>
    </row>
    <row r="822">
      <c r="M822" s="23" t="n"/>
      <c r="N822" s="23" t="n"/>
    </row>
    <row r="823">
      <c r="M823" s="23" t="n"/>
      <c r="N823" s="23" t="n"/>
    </row>
    <row r="824">
      <c r="M824" s="23" t="n"/>
      <c r="N824" s="23" t="n"/>
    </row>
    <row r="825">
      <c r="M825" s="23" t="n"/>
      <c r="N825" s="23" t="n"/>
    </row>
    <row r="826">
      <c r="M826" s="23" t="n"/>
      <c r="N826" s="23" t="n"/>
    </row>
    <row r="827">
      <c r="M827" s="23" t="n"/>
      <c r="N827" s="23" t="n"/>
    </row>
    <row r="828">
      <c r="M828" s="23" t="n"/>
      <c r="N828" s="23" t="n"/>
    </row>
    <row r="829">
      <c r="M829" s="23" t="n"/>
      <c r="N829" s="23" t="n"/>
    </row>
    <row r="830">
      <c r="M830" s="23" t="n"/>
      <c r="N830" s="23" t="n"/>
    </row>
    <row r="831">
      <c r="M831" s="23" t="n"/>
      <c r="N831" s="23" t="n"/>
    </row>
    <row r="832">
      <c r="M832" s="23" t="n"/>
      <c r="N832" s="23" t="n"/>
    </row>
    <row r="833">
      <c r="M833" s="23" t="n"/>
      <c r="N833" s="23" t="n"/>
    </row>
    <row r="834">
      <c r="M834" s="23" t="n"/>
      <c r="N834" s="23" t="n"/>
    </row>
    <row r="835">
      <c r="M835" s="23" t="n"/>
      <c r="N835" s="23" t="n"/>
    </row>
    <row r="836">
      <c r="M836" s="23" t="n"/>
      <c r="N836" s="23" t="n"/>
    </row>
    <row r="837">
      <c r="M837" s="23" t="n"/>
      <c r="N837" s="23" t="n"/>
    </row>
    <row r="838">
      <c r="M838" s="23" t="n"/>
      <c r="N838" s="23" t="n"/>
    </row>
    <row r="839">
      <c r="M839" s="23" t="n"/>
      <c r="N839" s="23" t="n"/>
    </row>
    <row r="840">
      <c r="M840" s="23" t="n"/>
      <c r="N840" s="23" t="n"/>
    </row>
    <row r="841">
      <c r="M841" s="23" t="n"/>
      <c r="N841" s="23" t="n"/>
    </row>
    <row r="842">
      <c r="M842" s="23" t="n"/>
      <c r="N842" s="23" t="n"/>
    </row>
    <row r="843">
      <c r="M843" s="23" t="n"/>
      <c r="N843" s="23" t="n"/>
    </row>
    <row r="844">
      <c r="M844" s="23" t="n"/>
      <c r="N844" s="23" t="n"/>
    </row>
    <row r="845">
      <c r="M845" s="23" t="n"/>
      <c r="N845" s="23" t="n"/>
    </row>
    <row r="846">
      <c r="M846" s="23" t="n"/>
      <c r="N846" s="23" t="n"/>
    </row>
    <row r="847">
      <c r="M847" s="23" t="n"/>
      <c r="N847" s="23" t="n"/>
    </row>
    <row r="848">
      <c r="M848" s="23" t="n"/>
      <c r="N848" s="23" t="n"/>
    </row>
    <row r="849">
      <c r="M849" s="23" t="n"/>
      <c r="N849" s="23" t="n"/>
    </row>
    <row r="850">
      <c r="M850" s="23" t="n"/>
      <c r="N850" s="23" t="n"/>
    </row>
    <row r="851">
      <c r="M851" s="23" t="n"/>
      <c r="N851" s="23" t="n"/>
    </row>
    <row r="852">
      <c r="M852" s="23" t="n"/>
      <c r="N852" s="23" t="n"/>
    </row>
    <row r="853">
      <c r="M853" s="23" t="n"/>
      <c r="N853" s="23" t="n"/>
    </row>
    <row r="854">
      <c r="M854" s="23" t="n"/>
      <c r="N854" s="23" t="n"/>
    </row>
    <row r="855">
      <c r="M855" s="23" t="n"/>
      <c r="N855" s="23" t="n"/>
    </row>
    <row r="856">
      <c r="M856" s="23" t="n"/>
      <c r="N856" s="23" t="n"/>
    </row>
    <row r="857">
      <c r="M857" s="23" t="n"/>
      <c r="N857" s="23" t="n"/>
    </row>
    <row r="858">
      <c r="M858" s="23" t="n"/>
      <c r="N858" s="23" t="n"/>
    </row>
    <row r="859">
      <c r="M859" s="23" t="n"/>
      <c r="N859" s="23" t="n"/>
    </row>
    <row r="860">
      <c r="M860" s="23" t="n"/>
      <c r="N860" s="23" t="n"/>
    </row>
    <row r="861">
      <c r="M861" s="23" t="n"/>
      <c r="N861" s="23" t="n"/>
    </row>
    <row r="862">
      <c r="M862" s="23" t="n"/>
      <c r="N862" s="23" t="n"/>
    </row>
    <row r="863">
      <c r="M863" s="23" t="n"/>
      <c r="N863" s="23" t="n"/>
    </row>
    <row r="864">
      <c r="M864" s="23" t="n"/>
      <c r="N864" s="23" t="n"/>
    </row>
    <row r="865">
      <c r="M865" s="23" t="n"/>
      <c r="N865" s="23" t="n"/>
    </row>
    <row r="866">
      <c r="M866" s="23" t="n"/>
      <c r="N866" s="23" t="n"/>
    </row>
    <row r="867">
      <c r="M867" s="23" t="n"/>
      <c r="N867" s="23" t="n"/>
    </row>
    <row r="868">
      <c r="M868" s="23" t="n"/>
      <c r="N868" s="23" t="n"/>
    </row>
    <row r="869">
      <c r="M869" s="23" t="n"/>
      <c r="N869" s="23" t="n"/>
    </row>
    <row r="870">
      <c r="M870" s="23" t="n"/>
      <c r="N870" s="23" t="n"/>
    </row>
    <row r="871">
      <c r="M871" s="23" t="n"/>
      <c r="N871" s="23" t="n"/>
    </row>
    <row r="872">
      <c r="M872" s="23" t="n"/>
      <c r="N872" s="23" t="n"/>
    </row>
    <row r="873">
      <c r="M873" s="23" t="n"/>
      <c r="N873" s="23" t="n"/>
    </row>
    <row r="874">
      <c r="M874" s="23" t="n"/>
      <c r="N874" s="23" t="n"/>
    </row>
    <row r="875">
      <c r="M875" s="23" t="n"/>
      <c r="N875" s="23" t="n"/>
    </row>
    <row r="876">
      <c r="M876" s="23" t="n"/>
      <c r="N876" s="23" t="n"/>
    </row>
    <row r="877">
      <c r="M877" s="23" t="n"/>
      <c r="N877" s="23" t="n"/>
    </row>
    <row r="878">
      <c r="M878" s="23" t="n"/>
      <c r="N878" s="23" t="n"/>
    </row>
    <row r="879">
      <c r="M879" s="23" t="n"/>
      <c r="N879" s="23" t="n"/>
    </row>
    <row r="880">
      <c r="M880" s="23" t="n"/>
      <c r="N880" s="23" t="n"/>
    </row>
    <row r="881">
      <c r="M881" s="23" t="n"/>
      <c r="N881" s="23" t="n"/>
    </row>
    <row r="882">
      <c r="M882" s="23" t="n"/>
      <c r="N882" s="23" t="n"/>
    </row>
    <row r="883">
      <c r="M883" s="23" t="n"/>
      <c r="N883" s="23" t="n"/>
    </row>
    <row r="884">
      <c r="M884" s="23" t="n"/>
      <c r="N884" s="23" t="n"/>
    </row>
    <row r="885">
      <c r="M885" s="23" t="n"/>
      <c r="N885" s="23" t="n"/>
    </row>
    <row r="886">
      <c r="M886" s="23" t="n"/>
      <c r="N886" s="23" t="n"/>
    </row>
    <row r="887">
      <c r="M887" s="23" t="n"/>
      <c r="N887" s="23" t="n"/>
    </row>
    <row r="888">
      <c r="M888" s="23" t="n"/>
      <c r="N888" s="23" t="n"/>
    </row>
    <row r="889">
      <c r="M889" s="23" t="n"/>
      <c r="N889" s="23" t="n"/>
    </row>
    <row r="890">
      <c r="M890" s="23" t="n"/>
      <c r="N890" s="23" t="n"/>
    </row>
    <row r="891">
      <c r="M891" s="23" t="n"/>
      <c r="N891" s="23" t="n"/>
    </row>
    <row r="892">
      <c r="M892" s="23" t="n"/>
      <c r="N892" s="23" t="n"/>
    </row>
    <row r="893">
      <c r="M893" s="23" t="n"/>
      <c r="N893" s="23" t="n"/>
    </row>
    <row r="894">
      <c r="M894" s="23" t="n"/>
      <c r="N894" s="23" t="n"/>
    </row>
    <row r="895">
      <c r="M895" s="23" t="n"/>
      <c r="N895" s="23" t="n"/>
    </row>
    <row r="896">
      <c r="M896" s="23" t="n"/>
      <c r="N896" s="23" t="n"/>
    </row>
    <row r="897">
      <c r="M897" s="23" t="n"/>
      <c r="N897" s="23" t="n"/>
    </row>
    <row r="898">
      <c r="M898" s="23" t="n"/>
      <c r="N898" s="23" t="n"/>
    </row>
    <row r="899">
      <c r="M899" s="23" t="n"/>
      <c r="N899" s="23" t="n"/>
    </row>
    <row r="900">
      <c r="M900" s="23" t="n"/>
      <c r="N900" s="23" t="n"/>
    </row>
    <row r="901">
      <c r="M901" s="23" t="n"/>
      <c r="N901" s="23" t="n"/>
    </row>
    <row r="902">
      <c r="M902" s="23" t="n"/>
      <c r="N902" s="23" t="n"/>
    </row>
    <row r="903">
      <c r="M903" s="23" t="n"/>
      <c r="N903" s="23" t="n"/>
    </row>
    <row r="904">
      <c r="M904" s="23" t="n"/>
      <c r="N904" s="23" t="n"/>
    </row>
    <row r="905">
      <c r="M905" s="23" t="n"/>
      <c r="N905" s="23" t="n"/>
    </row>
    <row r="906">
      <c r="M906" s="23" t="n"/>
      <c r="N906" s="23" t="n"/>
    </row>
    <row r="907">
      <c r="M907" s="23" t="n"/>
      <c r="N907" s="23" t="n"/>
    </row>
    <row r="908">
      <c r="M908" s="23" t="n"/>
      <c r="N908" s="23" t="n"/>
    </row>
    <row r="909">
      <c r="M909" s="23" t="n"/>
      <c r="N909" s="23" t="n"/>
    </row>
    <row r="910">
      <c r="M910" s="23" t="n"/>
      <c r="N910" s="23" t="n"/>
    </row>
    <row r="911">
      <c r="M911" s="23" t="n"/>
      <c r="N911" s="23" t="n"/>
    </row>
    <row r="912">
      <c r="M912" s="23" t="n"/>
      <c r="N912" s="23" t="n"/>
    </row>
    <row r="913">
      <c r="M913" s="23" t="n"/>
      <c r="N913" s="23" t="n"/>
    </row>
    <row r="914">
      <c r="M914" s="23" t="n"/>
      <c r="N914" s="23" t="n"/>
    </row>
    <row r="915">
      <c r="M915" s="23" t="n"/>
      <c r="N915" s="23" t="n"/>
    </row>
    <row r="916">
      <c r="M916" s="23" t="n"/>
      <c r="N916" s="23" t="n"/>
    </row>
    <row r="917">
      <c r="M917" s="23" t="n"/>
      <c r="N917" s="23" t="n"/>
    </row>
    <row r="918">
      <c r="M918" s="23" t="n"/>
      <c r="N918" s="23" t="n"/>
    </row>
    <row r="919">
      <c r="M919" s="23" t="n"/>
      <c r="N919" s="23" t="n"/>
    </row>
    <row r="920">
      <c r="M920" s="23" t="n"/>
      <c r="N920" s="23" t="n"/>
    </row>
    <row r="921">
      <c r="M921" s="23" t="n"/>
      <c r="N921" s="23" t="n"/>
    </row>
    <row r="922">
      <c r="M922" s="23" t="n"/>
      <c r="N922" s="23" t="n"/>
    </row>
    <row r="923">
      <c r="M923" s="23" t="n"/>
      <c r="N923" s="23" t="n"/>
    </row>
    <row r="924">
      <c r="M924" s="23" t="n"/>
      <c r="N924" s="23" t="n"/>
    </row>
    <row r="925">
      <c r="M925" s="23" t="n"/>
      <c r="N925" s="23" t="n"/>
    </row>
    <row r="926">
      <c r="M926" s="23" t="n"/>
      <c r="N926" s="23" t="n"/>
    </row>
    <row r="927">
      <c r="M927" s="23" t="n"/>
      <c r="N927" s="23" t="n"/>
    </row>
    <row r="928">
      <c r="M928" s="23" t="n"/>
      <c r="N928" s="23" t="n"/>
    </row>
    <row r="929">
      <c r="M929" s="23" t="n"/>
      <c r="N929" s="23" t="n"/>
    </row>
    <row r="930">
      <c r="M930" s="23" t="n"/>
      <c r="N930" s="23" t="n"/>
    </row>
    <row r="931">
      <c r="M931" s="23" t="n"/>
      <c r="N931" s="23" t="n"/>
    </row>
    <row r="932">
      <c r="M932" s="23" t="n"/>
      <c r="N932" s="23" t="n"/>
    </row>
    <row r="933">
      <c r="M933" s="23" t="n"/>
      <c r="N933" s="23" t="n"/>
    </row>
    <row r="934">
      <c r="M934" s="23" t="n"/>
      <c r="N934" s="23" t="n"/>
    </row>
    <row r="935">
      <c r="M935" s="23" t="n"/>
      <c r="N935" s="23" t="n"/>
    </row>
    <row r="936">
      <c r="M936" s="23" t="n"/>
      <c r="N936" s="23" t="n"/>
    </row>
    <row r="937">
      <c r="M937" s="23" t="n"/>
      <c r="N937" s="23" t="n"/>
    </row>
    <row r="938">
      <c r="M938" s="23" t="n"/>
      <c r="N938" s="23" t="n"/>
    </row>
    <row r="939">
      <c r="M939" s="23" t="n"/>
      <c r="N939" s="23" t="n"/>
    </row>
    <row r="940">
      <c r="M940" s="23" t="n"/>
      <c r="N940" s="23" t="n"/>
    </row>
    <row r="941">
      <c r="M941" s="23" t="n"/>
      <c r="N941" s="23" t="n"/>
    </row>
    <row r="942">
      <c r="M942" s="23" t="n"/>
      <c r="N942" s="23" t="n"/>
    </row>
    <row r="943">
      <c r="M943" s="23" t="n"/>
      <c r="N943" s="23" t="n"/>
    </row>
    <row r="944">
      <c r="M944" s="23" t="n"/>
      <c r="N944" s="23" t="n"/>
    </row>
    <row r="945">
      <c r="M945" s="23" t="n"/>
      <c r="N945" s="23" t="n"/>
    </row>
    <row r="946">
      <c r="M946" s="23" t="n"/>
      <c r="N946" s="23" t="n"/>
    </row>
    <row r="947">
      <c r="M947" s="23" t="n"/>
      <c r="N947" s="23" t="n"/>
    </row>
    <row r="948">
      <c r="M948" s="23" t="n"/>
      <c r="N948" s="23" t="n"/>
    </row>
    <row r="949">
      <c r="M949" s="23" t="n"/>
      <c r="N949" s="23" t="n"/>
    </row>
    <row r="950">
      <c r="M950" s="23" t="n"/>
      <c r="N950" s="23" t="n"/>
    </row>
    <row r="951">
      <c r="M951" s="23" t="n"/>
      <c r="N951" s="23" t="n"/>
    </row>
    <row r="952">
      <c r="M952" s="23" t="n"/>
      <c r="N952" s="23" t="n"/>
    </row>
    <row r="953">
      <c r="M953" s="23" t="n"/>
      <c r="N953" s="23" t="n"/>
    </row>
    <row r="954">
      <c r="M954" s="23" t="n"/>
      <c r="N954" s="23" t="n"/>
    </row>
    <row r="955">
      <c r="M955" s="23" t="n"/>
      <c r="N955" s="23" t="n"/>
    </row>
    <row r="956">
      <c r="M956" s="23" t="n"/>
      <c r="N956" s="23" t="n"/>
    </row>
    <row r="957">
      <c r="M957" s="23" t="n"/>
      <c r="N957" s="23" t="n"/>
    </row>
    <row r="958">
      <c r="M958" s="23" t="n"/>
      <c r="N958" s="23" t="n"/>
    </row>
    <row r="959">
      <c r="M959" s="23" t="n"/>
      <c r="N959" s="23" t="n"/>
    </row>
    <row r="960">
      <c r="M960" s="23" t="n"/>
      <c r="N960" s="23" t="n"/>
    </row>
    <row r="961">
      <c r="M961" s="23" t="n"/>
      <c r="N961" s="23" t="n"/>
    </row>
    <row r="962">
      <c r="M962" s="23" t="n"/>
      <c r="N962" s="23" t="n"/>
    </row>
    <row r="963">
      <c r="M963" s="23" t="n"/>
      <c r="N963" s="23" t="n"/>
    </row>
    <row r="964">
      <c r="M964" s="23" t="n"/>
      <c r="N964" s="23" t="n"/>
    </row>
    <row r="965">
      <c r="M965" s="23" t="n"/>
      <c r="N965" s="23" t="n"/>
    </row>
    <row r="966">
      <c r="M966" s="23" t="n"/>
      <c r="N966" s="23" t="n"/>
    </row>
    <row r="967">
      <c r="M967" s="23" t="n"/>
      <c r="N967" s="23" t="n"/>
    </row>
    <row r="968">
      <c r="M968" s="23" t="n"/>
      <c r="N968" s="23" t="n"/>
    </row>
    <row r="969">
      <c r="M969" s="23" t="n"/>
      <c r="N969" s="23" t="n"/>
    </row>
    <row r="970">
      <c r="M970" s="23" t="n"/>
      <c r="N970" s="23" t="n"/>
    </row>
    <row r="971">
      <c r="M971" s="23" t="n"/>
      <c r="N971" s="23" t="n"/>
    </row>
    <row r="972">
      <c r="M972" s="23" t="n"/>
      <c r="N972" s="23" t="n"/>
    </row>
    <row r="973">
      <c r="M973" s="23" t="n"/>
      <c r="N973" s="23" t="n"/>
    </row>
    <row r="974">
      <c r="M974" s="23" t="n"/>
      <c r="N974" s="23" t="n"/>
    </row>
    <row r="975">
      <c r="M975" s="23" t="n"/>
      <c r="N975" s="23" t="n"/>
    </row>
    <row r="976">
      <c r="M976" s="23" t="n"/>
      <c r="N976" s="23" t="n"/>
    </row>
    <row r="977">
      <c r="M977" s="23" t="n"/>
      <c r="N977" s="23" t="n"/>
    </row>
    <row r="978">
      <c r="M978" s="23" t="n"/>
      <c r="N978" s="23" t="n"/>
    </row>
    <row r="979">
      <c r="M979" s="23" t="n"/>
      <c r="N979" s="23" t="n"/>
    </row>
    <row r="980">
      <c r="M980" s="23" t="n"/>
      <c r="N980" s="23" t="n"/>
    </row>
    <row r="981">
      <c r="M981" s="23" t="n"/>
      <c r="N981" s="23" t="n"/>
    </row>
    <row r="982">
      <c r="M982" s="23" t="n"/>
      <c r="N982" s="23" t="n"/>
    </row>
    <row r="983">
      <c r="M983" s="23" t="n"/>
      <c r="N983" s="23" t="n"/>
    </row>
    <row r="984">
      <c r="M984" s="23" t="n"/>
      <c r="N984" s="23" t="n"/>
    </row>
    <row r="985">
      <c r="M985" s="23" t="n"/>
      <c r="N985" s="23" t="n"/>
    </row>
    <row r="986">
      <c r="M986" s="23" t="n"/>
      <c r="N986" s="23" t="n"/>
    </row>
    <row r="987">
      <c r="M987" s="23" t="n"/>
      <c r="N987" s="23" t="n"/>
    </row>
    <row r="988">
      <c r="M988" s="23" t="n"/>
      <c r="N988" s="23" t="n"/>
    </row>
    <row r="989">
      <c r="M989" s="23" t="n"/>
      <c r="N989" s="23" t="n"/>
    </row>
    <row r="990">
      <c r="M990" s="23" t="n"/>
      <c r="N990" s="23" t="n"/>
    </row>
    <row r="991">
      <c r="M991" s="23" t="n"/>
      <c r="N991" s="23" t="n"/>
    </row>
    <row r="992">
      <c r="M992" s="23" t="n"/>
      <c r="N992" s="23" t="n"/>
    </row>
    <row r="993">
      <c r="M993" s="23" t="n"/>
      <c r="N993" s="23"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999"/>
  <sheetViews>
    <sheetView tabSelected="1" workbookViewId="0">
      <pane ySplit="1" topLeftCell="A2" activePane="bottomLeft" state="frozen"/>
      <selection activeCell="A1" sqref="A1"/>
      <selection pane="bottomLeft" activeCell="C13" sqref="C13"/>
    </sheetView>
  </sheetViews>
  <sheetFormatPr baseColWidth="8" defaultColWidth="12.6339285714286" defaultRowHeight="15.75" customHeight="1"/>
  <cols>
    <col width="49" customWidth="1" min="3" max="3"/>
    <col width="56" customWidth="1" min="4" max="4"/>
    <col width="58.25" customWidth="1" min="5" max="5"/>
    <col width="51.75" customWidth="1" min="6" max="6"/>
    <col width="38" customWidth="1" min="7" max="7"/>
    <col width="61.8839285714286" customWidth="1" min="8" max="8"/>
    <col width="58.3839285714286" customWidth="1" min="9" max="9"/>
    <col width="56.3839285714286" customWidth="1" min="12" max="12"/>
    <col width="35.8839285714286" customWidth="1" min="14" max="14"/>
    <col width="12.7142857142857" customWidth="1" min="16" max="16"/>
  </cols>
  <sheetData>
    <row r="1">
      <c r="A1" s="1" t="inlineStr">
        <is>
          <t>Defect ID</t>
        </is>
      </c>
      <c r="B1" s="1" t="inlineStr">
        <is>
          <t>Module</t>
        </is>
      </c>
      <c r="C1" s="1" t="inlineStr">
        <is>
          <t>Bug Summary</t>
        </is>
      </c>
      <c r="D1" s="1" t="inlineStr">
        <is>
          <t>Bug Description</t>
        </is>
      </c>
      <c r="E1" s="1" t="inlineStr">
        <is>
          <t>Preconditions</t>
        </is>
      </c>
      <c r="F1" s="1" t="inlineStr">
        <is>
          <t>Steps to Reproduce</t>
        </is>
      </c>
      <c r="G1" s="1" t="inlineStr">
        <is>
          <t>Test Data</t>
        </is>
      </c>
      <c r="H1" s="1" t="inlineStr">
        <is>
          <t>Expected Result</t>
        </is>
      </c>
      <c r="I1" s="1" t="inlineStr">
        <is>
          <t>Actual Result</t>
        </is>
      </c>
      <c r="J1" s="1" t="inlineStr">
        <is>
          <t>Severity</t>
        </is>
      </c>
      <c r="K1" s="1" t="inlineStr">
        <is>
          <t>Priority</t>
        </is>
      </c>
      <c r="L1" s="1" t="inlineStr">
        <is>
          <t>Evidence</t>
        </is>
      </c>
      <c r="M1" s="1" t="inlineStr">
        <is>
          <t>Linked Test Cases</t>
        </is>
      </c>
      <c r="N1" s="1" t="inlineStr">
        <is>
          <t>Environment</t>
        </is>
      </c>
      <c r="O1" s="1" t="inlineStr">
        <is>
          <t>Status</t>
        </is>
      </c>
      <c r="P1" s="1" t="inlineStr">
        <is>
          <t>Reported Date</t>
        </is>
      </c>
      <c r="Q1" s="7" t="n"/>
      <c r="R1" s="7" t="n"/>
      <c r="S1" s="7" t="n"/>
      <c r="T1" s="7" t="n"/>
      <c r="U1" s="7" t="n"/>
      <c r="V1" s="7" t="n"/>
      <c r="W1" s="7" t="n"/>
      <c r="X1" s="7" t="n"/>
      <c r="Y1" s="7" t="n"/>
      <c r="Z1" s="7" t="n"/>
    </row>
    <row r="2">
      <c r="A2" s="2" t="inlineStr">
        <is>
          <t>DEF-001</t>
        </is>
      </c>
      <c r="B2" s="2" t="inlineStr">
        <is>
          <t>Monthly Statements</t>
        </is>
      </c>
      <c r="C2" s="2" t="inlineStr">
        <is>
          <t>Monthly statement includes a cancelled order and charges it in Amount due</t>
        </is>
      </c>
      <c r="D2" s="2" t="inlineStr">
        <is>
          <t>Cancelled orders should not be on the statement, but WC-01008-1 is listed and charged ₹2,004.82.</t>
        </is>
      </c>
      <c r="E2" s="2" t="inlineStr">
        <is>
          <t>Logged in as buyer1 (Spice Route Kitchen) / Test@123; WC-01008-1 placed and cancelled within 5 minutes</t>
        </is>
      </c>
      <c r="F2" s="2" t="inlineStr">
        <is>
          <t>1. Place an order (WC-01008-1, ₹2,004.82)
2. Cancel it within 5 minutes
3. Statements &gt; October 2026 &gt; Show</t>
        </is>
      </c>
      <c r="G2" s="2" t="inlineStr">
        <is>
          <t>WC-01008-1, ₹2,004.82, October 2026</t>
        </is>
      </c>
      <c r="H2" s="2" t="inlineStr">
        <is>
          <t>Cancelled orders should not appear on the statement. Orders total and Amount due should be ₹0.00 when no orders are delivered.</t>
        </is>
      </c>
      <c r="I2" s="2" t="inlineStr">
        <is>
          <t>Cancelled order WC-01008-1 is listed on the October statement with status 'cancelled', and ₹2,004.82 is added to Orders total and Amount due.</t>
        </is>
      </c>
      <c r="J2" s="2" t="inlineStr">
        <is>
          <t>Critical</t>
        </is>
      </c>
      <c r="K2" s="2" t="inlineStr">
        <is>
          <t>High</t>
        </is>
      </c>
      <c r="L2" s="2" t="inlineStr">
        <is>
          <t>evidence/DEF-001_statement_cancelled.mp4</t>
        </is>
      </c>
      <c r="M2" s="2" t="inlineStr">
        <is>
          <t>TC-13-01, TC-13-02</t>
        </is>
      </c>
      <c r="N2" s="2" t="inlineStr">
        <is>
          <t>QA - http://13.200.185.1/c/purushoth-kumar-efaa03 | Chrome, macOS</t>
        </is>
      </c>
      <c r="O2" s="2" t="inlineStr">
        <is>
          <t>Open</t>
        </is>
      </c>
      <c r="P2" s="25" t="n">
        <v>46309</v>
      </c>
    </row>
    <row r="3">
      <c r="A3" s="2" t="inlineStr">
        <is>
          <t>DEF-003</t>
        </is>
      </c>
      <c r="B3" s="2" t="inlineStr">
        <is>
          <t>Checkout</t>
        </is>
      </c>
      <c r="C3" s="2" t="inlineStr">
        <is>
          <t>Order success message does not show order numbers</t>
        </is>
      </c>
      <c r="D3" s="2" t="inlineStr">
        <is>
          <t>Message should include the order numbers; only 'Order placed!' is shown.</t>
        </is>
      </c>
      <c r="E3" s="2" t="inlineStr">
        <is>
          <t>Logged in as buyer1 (Spice Route Kitchen) / Test@123; valid cart with 2 sellers</t>
        </is>
      </c>
      <c r="F3" s="2" t="inlineStr">
        <is>
          <t>1. Checkout, choose 2026-10-15 08:00-11:00
2. Place order</t>
        </is>
      </c>
      <c r="G3" s="2" t="inlineStr">
        <is>
          <t>FreshFarm + WholeCart Direct cart</t>
        </is>
      </c>
      <c r="H3" s="2" t="inlineStr">
        <is>
          <t>After placing an order the buyer should see 'Your order has been placed. Order number: WC-01008-1, WC-01008-2'.</t>
        </is>
      </c>
      <c r="I3" s="2" t="inlineStr">
        <is>
          <t>Buyer is taken to Order history, but the message shows only 'Order placed!' without the order numbers.</t>
        </is>
      </c>
      <c r="J3" s="2" t="inlineStr">
        <is>
          <t>Minor</t>
        </is>
      </c>
      <c r="K3" s="2" t="inlineStr">
        <is>
          <t>Medium</t>
        </is>
      </c>
      <c r="L3" s="2" t="inlineStr">
        <is>
          <t>evidence/DEF-003_order_placed_msg.mp4</t>
        </is>
      </c>
      <c r="M3" s="2" t="inlineStr">
        <is>
          <t>TC-04-09</t>
        </is>
      </c>
      <c r="N3" s="2" t="inlineStr">
        <is>
          <t>QA - http://13.200.185.1/c/purushoth-kumar-efaa03 | Chrome, macOS</t>
        </is>
      </c>
      <c r="O3" s="2" t="inlineStr">
        <is>
          <t>Open</t>
        </is>
      </c>
      <c r="P3" s="25" t="n">
        <v>46309</v>
      </c>
    </row>
    <row r="4">
      <c r="A4" s="2" t="inlineStr">
        <is>
          <t>DEF-004</t>
        </is>
      </c>
      <c r="B4" s="2" t="inlineStr">
        <is>
          <t>Cart</t>
        </is>
      </c>
      <c r="C4" s="2" t="inlineStr">
        <is>
          <t>Cart quantity is a free-text box, not a 1-20 dropdown</t>
        </is>
      </c>
      <c r="D4" s="2" t="inlineStr">
        <is>
          <t>Quantity should be a 1-20 dropdown; it is a text box with an Update button.</t>
        </is>
      </c>
      <c r="E4" s="2" t="inlineStr">
        <is>
          <t>Logged in as buyer1 (Spice Route Kitchen) / Test@123; cart has lines</t>
        </is>
      </c>
      <c r="F4" s="2" t="inlineStr">
        <is>
          <t>1. Open Cart
2. Look at Quantity</t>
        </is>
      </c>
      <c r="G4" s="2" t="inlineStr">
        <is>
          <t>-</t>
        </is>
      </c>
      <c r="H4" s="2" t="inlineStr">
        <is>
          <t>Quantity should be a dropdown with values 1 to 20, and changing it should update the line straight away.</t>
        </is>
      </c>
      <c r="I4" s="2" t="inlineStr">
        <is>
          <t>Quantity is a text box with a separate Update button, so any value can be typed.</t>
        </is>
      </c>
      <c r="J4" s="2" t="inlineStr">
        <is>
          <t>Minor</t>
        </is>
      </c>
      <c r="K4" s="2" t="inlineStr">
        <is>
          <t>Medium</t>
        </is>
      </c>
      <c r="L4" s="2" t="inlineStr">
        <is>
          <t>evidence/DEF-004_cart_qty_textbox.mp4</t>
        </is>
      </c>
      <c r="M4" s="2" t="inlineStr">
        <is>
          <t>TC-03-01</t>
        </is>
      </c>
      <c r="N4" s="2" t="inlineStr">
        <is>
          <t>QA - http://13.200.185.1/c/purushoth-kumar-efaa03 | Chrome, macOS</t>
        </is>
      </c>
      <c r="O4" s="2" t="inlineStr">
        <is>
          <t>Open</t>
        </is>
      </c>
      <c r="P4" s="25" t="n">
        <v>46309</v>
      </c>
    </row>
    <row r="5">
      <c r="A5" s="2" t="inlineStr">
        <is>
          <t>DEF-005</t>
        </is>
      </c>
      <c r="B5" s="2" t="inlineStr">
        <is>
          <t>Order History</t>
        </is>
      </c>
      <c r="C5" s="2" t="inlineStr">
        <is>
          <t>Order detail shows actions that are not valid for the status</t>
        </is>
      </c>
      <c r="D5" s="2" t="inlineStr">
        <is>
          <t>Cancel, Change slot, Redelivery and Refund buttons show on cancelled, placed and delivered orders.</t>
        </is>
      </c>
      <c r="E5" s="2" t="inlineStr">
        <is>
          <t>Logged in as buyer1 (Spice Route Kitchen) / Test@123</t>
        </is>
      </c>
      <c r="F5" s="2" t="inlineStr">
        <is>
          <t>1. Cancel WC-01008-1
2. View it
3. Click Cancel order again
4. Also view placed order WC-01007-1</t>
        </is>
      </c>
      <c r="G5" s="2" t="inlineStr">
        <is>
          <t>WC-01008-1 (cancelled), WC-01007-1 (placed), WC-01021-1 (delivered)</t>
        </is>
      </c>
      <c r="H5" s="2" t="inlineStr">
        <is>
          <t>Each order should show only the actions valid for its status. Cancelled orders should show only Reorder, and Refund should show only on delivered orders.</t>
        </is>
      </c>
      <c r="I5" s="2" t="inlineStr">
        <is>
          <t>Cancel order, Change slot, Request redelivery and Refund buttons are shown on cancelled, placed and delivered orders. Clicking Cancel on a cancelled order says 'This order can no longer be cancelled'.</t>
        </is>
      </c>
      <c r="J5" s="2" t="inlineStr">
        <is>
          <t>Minor</t>
        </is>
      </c>
      <c r="K5" s="2" t="inlineStr">
        <is>
          <t>Medium</t>
        </is>
      </c>
      <c r="L5" s="2" t="inlineStr">
        <is>
          <t>evidence/DEF-005_cancelled_actions.mp4</t>
        </is>
      </c>
      <c r="M5" s="2" t="inlineStr">
        <is>
          <t>TC-06-02, TC-11-01</t>
        </is>
      </c>
      <c r="N5" s="2" t="inlineStr">
        <is>
          <t>QA - http://13.200.185.1/c/purushoth-kumar-efaa03 | Chrome, macOS</t>
        </is>
      </c>
      <c r="O5" s="2" t="inlineStr">
        <is>
          <t>Open</t>
        </is>
      </c>
      <c r="P5" s="25" t="n">
        <v>46309</v>
      </c>
    </row>
    <row r="6">
      <c r="A6" s="2" t="inlineStr">
        <is>
          <t>DEF-006</t>
        </is>
      </c>
      <c r="B6" s="2" t="inlineStr">
        <is>
          <t>Catalogue &amp; Search</t>
        </is>
      </c>
      <c r="C6" s="2" t="inlineStr">
        <is>
          <t>Category filter is ignored when combined with search text</t>
        </is>
      </c>
      <c r="D6" s="2" t="inlineStr">
        <is>
          <t>Search 'Chef' + category 'Oils' still shows all categories.</t>
        </is>
      </c>
      <c r="E6" s="2" t="inlineStr">
        <is>
          <t>Logged in as buyer1 (Spice Route Kitchen) / Test@123</t>
        </is>
      </c>
      <c r="F6" s="2" t="inlineStr">
        <is>
          <t>1. Catalogue
2. Search 'Chef', All categories -&gt; 28 products
3. Select 'Oils', click Search</t>
        </is>
      </c>
      <c r="G6" s="2" t="inlineStr">
        <is>
          <t>Chef + Oils</t>
        </is>
      </c>
      <c r="H6" s="2" t="inlineStr">
        <is>
          <t>Only products matching both the search text and the category should be shown, and the count should match.</t>
        </is>
      </c>
      <c r="I6" s="2" t="inlineStr">
        <is>
          <t>After searching 'Chef' with category 'Oils', the list still shows 28 products from Snacks, Grains, Dairy and Spices.</t>
        </is>
      </c>
      <c r="J6" s="2" t="inlineStr">
        <is>
          <t>Major</t>
        </is>
      </c>
      <c r="K6" s="2" t="inlineStr">
        <is>
          <t>High</t>
        </is>
      </c>
      <c r="L6" s="2" t="inlineStr">
        <is>
          <t>evidence/DEF-006_category_filter.mp4</t>
        </is>
      </c>
      <c r="M6" s="2" t="inlineStr">
        <is>
          <t>TC-02-02</t>
        </is>
      </c>
      <c r="N6" s="2" t="inlineStr">
        <is>
          <t>QA - http://13.200.185.1/c/purushoth-kumar-efaa03 | Chrome, macOS</t>
        </is>
      </c>
      <c r="O6" s="2" t="inlineStr">
        <is>
          <t>Open</t>
        </is>
      </c>
      <c r="P6" s="25" t="n">
        <v>46309</v>
      </c>
    </row>
    <row r="7">
      <c r="A7" s="2" t="inlineStr">
        <is>
          <t>DEF-007</t>
        </is>
      </c>
      <c r="B7" s="2" t="inlineStr">
        <is>
          <t>Order History</t>
        </is>
      </c>
      <c r="C7" s="2" t="inlineStr">
        <is>
          <t>Amounts shown without thousands separator</t>
        </is>
      </c>
      <c r="D7" s="2" t="inlineStr">
        <is>
          <t>Amounts show as ₹2552.32 instead of ₹2,552.32.</t>
        </is>
      </c>
      <c r="E7" s="2" t="inlineStr">
        <is>
          <t>Logged in as buyer1 (Spice Route Kitchen) / Test@123</t>
        </is>
      </c>
      <c r="F7" s="2" t="inlineStr">
        <is>
          <t>1. Look at amounts on Cart, Checkout, Orders</t>
        </is>
      </c>
      <c r="G7" s="2" t="inlineStr">
        <is>
          <t>-</t>
        </is>
      </c>
      <c r="H7" s="2" t="inlineStr">
        <is>
          <t>Amounts should be shown with a thousands separator, e.g. ₹2,552.32.</t>
        </is>
      </c>
      <c r="I7" s="2" t="inlineStr">
        <is>
          <t>Amounts are shown without a separator, e.g. ₹2552.32 on cart, checkout and Order history.</t>
        </is>
      </c>
      <c r="J7" s="2" t="inlineStr">
        <is>
          <t>Trivial</t>
        </is>
      </c>
      <c r="K7" s="2" t="inlineStr">
        <is>
          <t>Low</t>
        </is>
      </c>
      <c r="L7" s="2" t="inlineStr">
        <is>
          <t>evidence/DEF-003_order_placed_msg.mp4</t>
        </is>
      </c>
      <c r="M7" s="2" t="inlineStr">
        <is>
          <t>TC-06-03</t>
        </is>
      </c>
      <c r="N7" s="2" t="inlineStr">
        <is>
          <t>QA - http://13.200.185.1/c/purushoth-kumar-efaa03 | Chrome, macOS</t>
        </is>
      </c>
      <c r="O7" s="2" t="inlineStr">
        <is>
          <t>Open</t>
        </is>
      </c>
      <c r="P7" s="25" t="n">
        <v>46309</v>
      </c>
    </row>
    <row r="8">
      <c r="A8" s="2" t="inlineStr">
        <is>
          <t>DEF-008</t>
        </is>
      </c>
      <c r="B8" s="2" t="inlineStr">
        <is>
          <t>Slot Change</t>
        </is>
      </c>
      <c r="C8" s="2" t="inlineStr">
        <is>
          <t>Change-slot form pre-filled with today's date instead of the order's delivery date</t>
        </is>
      </c>
      <c r="D8" s="2" t="inlineStr">
        <is>
          <t>Change slot form shows today's date, not the order's delivery date.</t>
        </is>
      </c>
      <c r="E8" s="2" t="inlineStr">
        <is>
          <t>Logged in as buyer1 (Spice Route Kitchen) / Test@123</t>
        </is>
      </c>
      <c r="F8" s="2" t="inlineStr">
        <is>
          <t>1. View order WC-01008-1 (delivery 2026-10-15 08:00-11:00)</t>
        </is>
      </c>
      <c r="G8" s="2" t="inlineStr">
        <is>
          <t>-</t>
        </is>
      </c>
      <c r="H8" s="2" t="inlineStr">
        <is>
          <t>The Change slot form should show the order's current delivery date and slot.</t>
        </is>
      </c>
      <c r="I8" s="2" t="inlineStr">
        <is>
          <t>Change slot form shows today's date (14/10/2026) and 08:00-11:00 instead of the order's delivery date (15/10/2026).</t>
        </is>
      </c>
      <c r="J8" s="2" t="inlineStr">
        <is>
          <t>Trivial</t>
        </is>
      </c>
      <c r="K8" s="2" t="inlineStr">
        <is>
          <t>Low</t>
        </is>
      </c>
      <c r="L8" s="2" t="inlineStr">
        <is>
          <t>evidence/DEF-005_cancelled_actions.mp4</t>
        </is>
      </c>
      <c r="M8" s="2" t="inlineStr">
        <is>
          <t>TC-08-02</t>
        </is>
      </c>
      <c r="N8" s="2" t="inlineStr">
        <is>
          <t>QA - http://13.200.185.1/c/purushoth-kumar-efaa03 | Chrome, macOS</t>
        </is>
      </c>
      <c r="O8" s="2" t="inlineStr">
        <is>
          <t>Open</t>
        </is>
      </c>
      <c r="P8" s="25" t="n">
        <v>46309</v>
      </c>
    </row>
    <row r="9">
      <c r="A9" s="2" t="inlineStr">
        <is>
          <t>DEF-009</t>
        </is>
      </c>
      <c r="B9" s="2" t="inlineStr">
        <is>
          <t>Cancellation</t>
        </is>
      </c>
      <c r="C9" s="2" t="inlineStr">
        <is>
          <t>Seller cancellation is not shown to the buyer (BR-12)</t>
        </is>
      </c>
      <c r="D9" s="2" t="inlineStr">
        <is>
          <t>Seller cancelled the order, but the buyer still sees 'accepted' / 'placed'.</t>
        </is>
      </c>
      <c r="E9" s="2" t="inlineStr">
        <is>
          <t>seller1 and buyer1 logged in (separate browsers)</t>
        </is>
      </c>
      <c r="F9" s="2" t="inlineStr">
        <is>
          <t>1. seller1 cancels WC-01012-1 (accepted) and WC-01010-1 (placed)
2. buyer1 opens Orders and the order detail</t>
        </is>
      </c>
      <c r="G9" s="2" t="inlineStr">
        <is>
          <t>WC-01012-1 (accepted), WC-01010-1 (placed)</t>
        </is>
      </c>
      <c r="H9" s="2" t="inlineStr">
        <is>
          <t>When a seller cancels, the buyer should see 'Cancelled' immediately and the stock should be returned.</t>
        </is>
      </c>
      <c r="I9" s="2" t="inlineStr">
        <is>
          <t>Seller's list shows WC-01012-1 and WC-01010-1 as 'cancelled', but the buyer still sees them as 'accepted' and 'placed'. Buyer's own Cancel fails with 'This order can no longer be cancelled'.</t>
        </is>
      </c>
      <c r="J9" s="2" t="inlineStr">
        <is>
          <t>Critical</t>
        </is>
      </c>
      <c r="K9" s="2" t="inlineStr">
        <is>
          <t>High</t>
        </is>
      </c>
      <c r="L9" s="2" t="inlineStr">
        <is>
          <t>evidence/DEF-009_seller_view.mp4; evidence/DEF-009_buyer_view.mp4</t>
        </is>
      </c>
      <c r="M9" s="2" t="inlineStr">
        <is>
          <t>TC-07-05</t>
        </is>
      </c>
      <c r="N9" s="2" t="inlineStr">
        <is>
          <t>QA - http://13.200.185.1/c/purushoth-kumar-efaa03 | Chrome, macOS</t>
        </is>
      </c>
      <c r="O9" s="2" t="inlineStr">
        <is>
          <t>Open</t>
        </is>
      </c>
      <c r="P9" s="25" t="n">
        <v>46309</v>
      </c>
    </row>
    <row r="10">
      <c r="A10" s="2" t="inlineStr">
        <is>
          <t>DEF-010</t>
        </is>
      </c>
      <c r="B10" s="2" t="inlineStr">
        <is>
          <t>Checkout</t>
        </is>
      </c>
      <c r="C10" s="2" t="inlineStr">
        <is>
          <t>Minimum order per seller not enforced in a multi-seller checkout (BR-04)</t>
        </is>
      </c>
      <c r="D10" s="2" t="inlineStr">
        <is>
          <t>WC-01010-1 was placed with ₹132.48 net, below the per-seller minimum.</t>
        </is>
      </c>
      <c r="E10" s="2" t="inlineStr">
        <is>
          <t>buyer1; cart with WholeCart Direct item below minimum + Coastal Beverages items above minimum</t>
        </is>
      </c>
      <c r="F10" s="2" t="inlineStr">
        <is>
          <t>1. Add Chef's Chana Dal 1 case (₹132.48, WholeCart Direct)
2. Add Coastal Beverages items (&gt; ₹11,000)
3. Place order</t>
        </is>
      </c>
      <c r="G10" s="2" t="inlineStr">
        <is>
          <t>WC-01010-1 net ₹132.48, WC-01010-2 ₹11,887.32</t>
        </is>
      </c>
      <c r="H10" s="2" t="inlineStr">
        <is>
          <t>Checkout should be blocked when any seller's net is below the minimum, and the message should name that seller.</t>
        </is>
      </c>
      <c r="I10" s="2" t="inlineStr">
        <is>
          <t>Order WC-01010-1 for WholeCart Direct was placed with only ₹132.48 net (total ₹257.10), because the other seller in the same checkout was above the minimum.</t>
        </is>
      </c>
      <c r="J10" s="2" t="inlineStr">
        <is>
          <t>Major</t>
        </is>
      </c>
      <c r="K10" s="2" t="inlineStr">
        <is>
          <t>High</t>
        </is>
      </c>
      <c r="L10" s="2" t="inlineStr">
        <is>
          <t>evidence/DEF-010_min_order_bypass.mp4</t>
        </is>
      </c>
      <c r="M10" s="2" t="inlineStr">
        <is>
          <t>TC-04-07</t>
        </is>
      </c>
      <c r="N10" s="2" t="inlineStr">
        <is>
          <t>QA - http://13.200.185.1/c/purushoth-kumar-efaa03 | Chrome, macOS</t>
        </is>
      </c>
      <c r="O10" s="2" t="inlineStr">
        <is>
          <t>Open</t>
        </is>
      </c>
      <c r="P10" s="25" t="n">
        <v>46309</v>
      </c>
    </row>
    <row r="11">
      <c r="A11" s="2" t="inlineStr">
        <is>
          <t>DEF-011</t>
        </is>
      </c>
      <c r="B11" s="2" t="inlineStr">
        <is>
          <t>Checkout</t>
        </is>
      </c>
      <c r="C11" s="2" t="inlineStr">
        <is>
          <t>Default 'Minimum order per seller' is ₹2,000; design says ₹1,500 (BR-04)</t>
        </is>
      </c>
      <c r="D11" s="2" t="inlineStr">
        <is>
          <t>Minimum order is set to ₹2,000; design says ₹1,500.</t>
        </is>
      </c>
      <c r="E11" s="2" t="inlineStr">
        <is>
          <t>operator and buyer1</t>
        </is>
      </c>
      <c r="F11" s="2" t="inlineStr">
        <is>
          <t>1. Operator: open Settings, read Minimum order per seller
2. Buyer: cart Chef's Cumin Seeds 1 case (₹1,385.52), place order</t>
        </is>
      </c>
      <c r="G11" s="2" t="inlineStr">
        <is>
          <t>Setting ₹2,000; net ₹1,385.52</t>
        </is>
      </c>
      <c r="H11" s="2" t="inlineStr">
        <is>
          <t>The minimum order per seller should be ₹1,500 as per the design, so orders from ₹1,500 should be allowed.</t>
        </is>
      </c>
      <c r="I11" s="2" t="inlineStr">
        <is>
          <t>Operator setting 'Minimum order per seller' is ₹2,000, and checkout shows 'Minimum order value is ₹2000 per seller'.</t>
        </is>
      </c>
      <c r="J11" s="2" t="inlineStr">
        <is>
          <t>Major</t>
        </is>
      </c>
      <c r="K11" s="2" t="inlineStr">
        <is>
          <t>High</t>
        </is>
      </c>
      <c r="L11" s="2" t="inlineStr">
        <is>
          <t>evidence/DEF-011_checkout_min_2000.mp4 ; evidence/DEF-011_settings_min_2000.mp4</t>
        </is>
      </c>
      <c r="M11" s="2" t="inlineStr">
        <is>
          <t>TC-04-05</t>
        </is>
      </c>
      <c r="N11" s="2" t="inlineStr">
        <is>
          <t>QA - http://13.200.185.1/c/purushoth-kumar-efaa03 | Chrome, macOS</t>
        </is>
      </c>
      <c r="O11" s="2" t="inlineStr">
        <is>
          <t>Open</t>
        </is>
      </c>
      <c r="P11" s="25" t="n">
        <v>46309</v>
      </c>
    </row>
    <row r="12">
      <c r="A12" s="2" t="inlineStr">
        <is>
          <t>DEF-012</t>
        </is>
      </c>
      <c r="B12" s="2" t="inlineStr">
        <is>
          <t>Seller - Products</t>
        </is>
      </c>
      <c r="C12" s="2" t="inlineStr">
        <is>
          <t>Product list Next link opens an empty page after the last page</t>
        </is>
      </c>
      <c r="D12" s="2" t="inlineStr">
        <is>
          <t>Next on the last page opens an empty product list.</t>
        </is>
      </c>
      <c r="E12" s="2" t="inlineStr">
        <is>
          <t>Logged in as seller1</t>
        </is>
      </c>
      <c r="F12" s="2" t="inlineStr">
        <is>
          <t>1. Products
2. Click Next past the last page</t>
        </is>
      </c>
      <c r="G12" s="2" t="inlineStr">
        <is>
          <t>-</t>
        </is>
      </c>
      <c r="H12" s="2" t="inlineStr">
        <is>
          <t>Next should be hidden or disabled on the last page.</t>
        </is>
      </c>
      <c r="I12" s="2" t="inlineStr">
        <is>
          <t>Clicking Next on the last page of the seller's product list opens an empty table with only Previous and Next links.</t>
        </is>
      </c>
      <c r="J12" s="2" t="inlineStr">
        <is>
          <t>Minor</t>
        </is>
      </c>
      <c r="K12" s="2" t="inlineStr">
        <is>
          <t>Low</t>
        </is>
      </c>
      <c r="L12" s="2" t="inlineStr">
        <is>
          <t>evidence/DEF-012_products_empty_page.mp4</t>
        </is>
      </c>
      <c r="M12" s="2" t="inlineStr">
        <is>
          <t>TC-16-01</t>
        </is>
      </c>
      <c r="N12" s="2" t="inlineStr">
        <is>
          <t>QA - http://13.200.185.1/c/purushoth-kumar-efaa03 | Chrome, macOS</t>
        </is>
      </c>
      <c r="O12" s="2" t="inlineStr">
        <is>
          <t>Open</t>
        </is>
      </c>
      <c r="P12" s="25" t="n">
        <v>46309</v>
      </c>
    </row>
    <row r="13">
      <c r="A13" s="2" t="inlineStr">
        <is>
          <t>DEF-013</t>
        </is>
      </c>
      <c r="B13" s="2" t="inlineStr">
        <is>
          <t>Seller - CSV Import</t>
        </is>
      </c>
      <c r="C13" s="2" t="inlineStr">
        <is>
          <t>Upload without a file shows a misleading column error</t>
        </is>
      </c>
      <c r="D13" s="2" t="inlineStr">
        <is>
          <t>Upload with no file says 'CSV must have columns' instead of 'choose a file'.</t>
        </is>
      </c>
      <c r="E13" s="2" t="inlineStr">
        <is>
          <t>Logged in as seller1</t>
        </is>
      </c>
      <c r="F13" s="2" t="inlineStr">
        <is>
          <t>1. Products
2. Leave 'No file chosen'
3. Click Upload</t>
        </is>
      </c>
      <c r="G13" s="2" t="inlineStr">
        <is>
          <t>-</t>
        </is>
      </c>
      <c r="H13" s="2" t="inlineStr">
        <is>
          <t>The page should ask the seller to choose a CSV file.</t>
        </is>
      </c>
      <c r="I13" s="2" t="inlineStr">
        <is>
          <t>With no file chosen, clicking Upload shows 'CSV must have columns: sku, name, category, ...'.</t>
        </is>
      </c>
      <c r="J13" s="2" t="inlineStr">
        <is>
          <t>Trivial</t>
        </is>
      </c>
      <c r="K13" s="2" t="inlineStr">
        <is>
          <t>Low</t>
        </is>
      </c>
      <c r="L13" s="2" t="inlineStr">
        <is>
          <t>evidence/DEF-013_upload_no_file.mp4</t>
        </is>
      </c>
      <c r="M13" s="2" t="inlineStr">
        <is>
          <t>TC-17-03</t>
        </is>
      </c>
      <c r="N13" s="2" t="inlineStr">
        <is>
          <t>QA - http://13.200.185.1/c/purushoth-kumar-efaa03 | Chrome, macOS</t>
        </is>
      </c>
      <c r="O13" s="2" t="inlineStr">
        <is>
          <t>Open</t>
        </is>
      </c>
      <c r="P13" s="25" t="n">
        <v>46309</v>
      </c>
    </row>
    <row r="14">
      <c r="A14" s="2" t="inlineStr">
        <is>
          <t>DEF-014</t>
        </is>
      </c>
      <c r="B14" s="2" t="inlineStr">
        <is>
          <t>Inquiries</t>
        </is>
      </c>
      <c r="C14" s="2" t="inlineStr">
        <is>
          <t>Message seller button does nothing</t>
        </is>
      </c>
      <c r="D14" s="2" t="inlineStr">
        <is>
          <t>Clicking Message seller in Order history does nothing; no message form opens.</t>
        </is>
      </c>
      <c r="E14" s="2" t="inlineStr">
        <is>
          <t>buyer1 logged in; Order history has orders</t>
        </is>
      </c>
      <c r="F14" s="2" t="inlineStr">
        <is>
          <t>1. Orders
2. Click 'Message seller' on WC-01023-1
3. Click it again</t>
        </is>
      </c>
      <c r="G14" s="2" t="inlineStr">
        <is>
          <t>WC-01023-1 (WholeCart Direct)</t>
        </is>
      </c>
      <c r="H14" s="2" t="inlineStr">
        <is>
          <t>Clicking 'Message seller' should open a message form, and the seller should receive the message.</t>
        </is>
      </c>
      <c r="I14" s="2" t="inlineStr">
        <is>
          <t>Clicking 'Message seller' on WC-01023-1 several times does nothing: no form, no page change and no error.</t>
        </is>
      </c>
      <c r="J14" s="2" t="inlineStr">
        <is>
          <t>Major</t>
        </is>
      </c>
      <c r="K14" s="2" t="inlineStr">
        <is>
          <t>High</t>
        </is>
      </c>
      <c r="L14" s="2" t="inlineStr">
        <is>
          <t>evidence/DEF-014_message_seller_no_action.mp4</t>
        </is>
      </c>
      <c r="M14" s="2" t="inlineStr">
        <is>
          <t>TC-14-01</t>
        </is>
      </c>
      <c r="N14" s="2" t="inlineStr">
        <is>
          <t>QA - http://13.200.185.1/c/purushoth-kumar-efaa03 | Chrome, macOS</t>
        </is>
      </c>
      <c r="O14" s="2" t="inlineStr">
        <is>
          <t>Open</t>
        </is>
      </c>
      <c r="P14" s="25" t="n">
        <v>46309</v>
      </c>
    </row>
    <row r="15">
      <c r="A15" s="2" t="inlineStr">
        <is>
          <t>DEF-015</t>
        </is>
      </c>
      <c r="B15" s="2" t="inlineStr">
        <is>
          <t>Reorder</t>
        </is>
      </c>
      <c r="C15" s="2" t="inlineStr">
        <is>
          <t>Reorder drops a line from the order without telling the buyer</t>
        </is>
      </c>
      <c r="D15" s="2" t="inlineStr">
        <is>
          <t>Reorder leaves out the last line of the order (seen on WC-01021-1, WC-01001-1, WC-01003-1) with no warning. Likely cause: lines that cannot be filled from current stock are dropped silently (Almond seeds: 20 pieces in WC-01021-1, only 12 in stock).</t>
        </is>
      </c>
      <c r="E15" s="2" t="inlineStr">
        <is>
          <t>buyer2 logged in; cart empty</t>
        </is>
      </c>
      <c r="F15" s="2" t="inlineStr">
        <is>
          <t>1. Orders &gt; View the order (note all lines)
2. Orders &gt; Reorder the order
3. Open Cart and compare</t>
        </is>
      </c>
      <c r="G15" s="2" t="inlineStr">
        <is>
          <t>WC-01021-1 (Basmati Rice 27, Almond seeds 5); WC-01001-1 (Spice Basmati Rice 1, Daily Toor Dal 1, Royal Moong Dal 3); WC-01003-1 (Fresh OJ 2, Farm OJ 1, Chef's Cold Coffee 2)</t>
        </is>
      </c>
      <c r="H15" s="2" t="inlineStr">
        <is>
          <t>Every line of the order should be added to the cart. If a product cannot be added, the buyer should be told which one.</t>
        </is>
      </c>
      <c r="I15" s="2" t="inlineStr">
        <is>
          <t>Reorder adds all lines except the last one, with no warning: Almond seeds (WC-01021-1), Royal Moong Dal (WC-01001-1) and Chef's Cold Coffee (WC-01003-1) were missing from the cart.</t>
        </is>
      </c>
      <c r="J15" s="2" t="inlineStr">
        <is>
          <t>Major</t>
        </is>
      </c>
      <c r="K15" s="2" t="inlineStr">
        <is>
          <t>High</t>
        </is>
      </c>
      <c r="L15" s="2" t="inlineStr">
        <is>
          <t>evidence/DEF-015_reorder_missing_line.mp4; evidence/DEF-015_reorder_WC-01001.mp4; evidence/DEF-015_reorder_WC-01003.mp4</t>
        </is>
      </c>
      <c r="M15" s="2" t="inlineStr">
        <is>
          <t>TC-10-01, TC-10-02</t>
        </is>
      </c>
      <c r="N15" s="2" t="inlineStr">
        <is>
          <t>QA - http://13.200.185.1/c/purushoth-kumar-efaa03 | Chrome, macOS</t>
        </is>
      </c>
      <c r="O15" s="2" t="inlineStr">
        <is>
          <t>Open</t>
        </is>
      </c>
      <c r="P15" s="25" t="n">
        <v>46309</v>
      </c>
    </row>
    <row r="16">
      <c r="A16" s="2" t="inlineStr">
        <is>
          <t>DEF-016</t>
        </is>
      </c>
      <c r="B16" s="3" t="inlineStr">
        <is>
          <t>Catalogue &amp; Search</t>
        </is>
      </c>
      <c r="C16" s="3" t="inlineStr">
        <is>
          <t>Out-of-stock products are displayed in the catalogue and search results</t>
        </is>
      </c>
      <c r="D16" s="2" t="inlineStr">
        <is>
          <t>Products with zero stock are still displayed in the buyer's catalogue and search results, and can be opened and added to the cart.</t>
        </is>
      </c>
      <c r="E16" s="2" t="inlineStr">
        <is>
          <t>seller1 and buyer1 accounts / Test@123</t>
        </is>
      </c>
      <c r="F16" s="3" t="inlineStr">
        <is>
          <t>1. Log in as seller1 and open Products
2. Note that SKU-0030 and SKU-0047 have stock 0
3. Log in as buyer1 and open Catalogue
4. Search SKU-0030, then SKU-0047
5. Open the product page</t>
        </is>
      </c>
      <c r="G16" s="2" t="inlineStr">
        <is>
          <t>SKU-0030 Spice Toor Dal (stock 0), SKU-0047 Prime Moong Dal (stock 0)</t>
        </is>
      </c>
      <c r="H16" s="3" t="inlineStr">
        <is>
          <t>Products with zero stock should not be displayed in the catalogue list, name/SKU search results, or category filter results. The total product count should exclude all out-of-stock products.</t>
        </is>
      </c>
      <c r="I16" s="3" t="inlineStr">
        <is>
          <t>SKU-0030 Spice Toor Dal and SKU-0047 Prime Moong Dal have 0 stock in the seller's product list, but both appear in the buyer's catalogue search by SKU. The product page shows 'In stock: 0 pieces' with Add to cart enabled.</t>
        </is>
      </c>
      <c r="J16" s="3" t="inlineStr">
        <is>
          <t>Major</t>
        </is>
      </c>
      <c r="K16" s="3" t="inlineStr">
        <is>
          <t>High</t>
        </is>
      </c>
      <c r="L16" s="2" t="inlineStr">
        <is>
          <t>evidence/DEF-016_out_of_stock_shown.mp4</t>
        </is>
      </c>
      <c r="M16" s="3" t="inlineStr">
        <is>
          <t>TC-02-01</t>
        </is>
      </c>
      <c r="N16" s="2" t="inlineStr">
        <is>
          <t>QA - http://13.200.185.1/c/purushoth-kumar-efaa03 | Chrome, macOS</t>
        </is>
      </c>
      <c r="O16" s="2" t="inlineStr">
        <is>
          <t>Open</t>
        </is>
      </c>
      <c r="P16" s="25" t="n">
        <v>46309</v>
      </c>
    </row>
    <row r="17">
      <c r="A17" s="2" t="inlineStr">
        <is>
          <t>DEF-018</t>
        </is>
      </c>
      <c r="B17" s="3" t="inlineStr">
        <is>
          <t>Checkout</t>
        </is>
      </c>
      <c r="C17" s="3" t="inlineStr">
        <is>
          <t>Duplicate orders created and stock deducted twice on repeated order submission</t>
        </is>
      </c>
      <c r="D17" s="2" t="inlineStr">
        <is>
          <t>The system creates duplicate sub-orders when the buyer double-clicks the Place order button, instead of processing the order only once.</t>
        </is>
      </c>
      <c r="E17" s="2" t="inlineStr">
        <is>
          <t>Logged in as buyer1</t>
        </is>
      </c>
      <c r="F17" s="3" t="inlineStr">
        <is>
          <t>1. Log in as a buyer and add an available product to the cart.
2. Proceed to checkout and enter the required details.
3. Note the available stock quantity.
4. Double-click the Place order button.
5. Verify the order history for duplicate orders or sub-orders.
6. Verify whether the stock was deducted more than once.</t>
        </is>
      </c>
      <c r="G17" s="2" t="inlineStr">
        <is>
          <t>SKU-910 Almond Oil, 2 pieces (stock 30); orders WC-01028-1 and WC-01029-1 (₹3,150.00 each); stock 30 → 26</t>
        </is>
      </c>
      <c r="H17" s="3" t="inlineStr">
        <is>
          <t>The system should process the order only once, even if the buyer double-clicks the Place order button. Only one set of sub-orders should be created, and the stock should be deducted only once.</t>
        </is>
      </c>
      <c r="I17" s="3" t="inlineStr">
        <is>
          <t>Double-clicking Place order created two orders, WC-01028-1 and WC-01029-1 (₹3,150.00 each, placed at the same time). Almond Oil stock dropped from 30 to 26, so it was deducted twice.</t>
        </is>
      </c>
      <c r="J17" s="3" t="inlineStr">
        <is>
          <t>Major</t>
        </is>
      </c>
      <c r="K17" s="3" t="inlineStr">
        <is>
          <t>High</t>
        </is>
      </c>
      <c r="L17" s="2" t="inlineStr">
        <is>
          <t>evidence/DEF-018_double_click_duplicate_orders.mp4</t>
        </is>
      </c>
      <c r="M17" s="3" t="inlineStr">
        <is>
          <t>TC-04-11</t>
        </is>
      </c>
      <c r="N17" s="2" t="inlineStr">
        <is>
          <t>QA - http://13.200.185.1/c/purushoth-kumar-efaa03 | Chrome, macOS</t>
        </is>
      </c>
      <c r="O17" s="2" t="inlineStr">
        <is>
          <t>Open</t>
        </is>
      </c>
      <c r="P17" s="25" t="n">
        <v>46309</v>
      </c>
    </row>
    <row r="18">
      <c r="A18" s="2" t="inlineStr">
        <is>
          <t>DEF-019</t>
        </is>
      </c>
      <c r="B18" s="3" t="inlineStr">
        <is>
          <t>Operator</t>
        </is>
      </c>
      <c r="C18" s="3" t="inlineStr">
        <is>
          <t>Updated same-day cut-off time in operator settings is not reflected at checkout</t>
        </is>
      </c>
      <c r="D18" s="2" t="inlineStr">
        <is>
          <t>When the same-day delivery cut-off time is changed from 10:00 to 18:00 in Operator Settings, the updated time is not reflected in the checkout delivery slot options. The checkout continues to display the previous cut-off time instead of the updated configuration.</t>
        </is>
      </c>
      <c r="E18" s="2" t="inlineStr">
        <is>
          <t>Operator and buyer1 accounts / Test@123</t>
        </is>
      </c>
      <c r="F18" s="3" t="inlineStr">
        <is>
          <t>1. Log in as operator
2. Navigate to Operator Settings and change the same-day delivery cut-off time from 10:00 to 18:00.
3. Save the updated settings.
4. Log in as a buyer and add a product to the cart.
5. Proceed to checkout and navigate to the Delivery Slot section.
6. Verify the cut-off time displayed for the 14:00–17:00 and 17:00–20:00 delivery slots.</t>
        </is>
      </c>
      <c r="G18" s="2" t="inlineStr">
        <is>
          <t>Operator: Same-day cut-off time 18:00 (saved). Buyer: checkout with delivery date 14/10/2026 (today)</t>
        </is>
      </c>
      <c r="H18" s="3" t="inlineStr">
        <is>
          <t>The checkout delivery slot information should reflect the updated cut-off time of 18:00. Same-day delivery should be available only for the 14:00–17:00 and 17:00–20:00 slots when the order is placed before the configured cut-off time.</t>
        </is>
      </c>
      <c r="I18" s="3" t="inlineStr">
        <is>
          <t>After saving 18:00, today's 14:00-17:00 and 17:00-20:00 slots are still disabled with 'Same-day orders must be placed before 10:00'.</t>
        </is>
      </c>
      <c r="J18" s="3" t="inlineStr">
        <is>
          <t>Major</t>
        </is>
      </c>
      <c r="K18" s="3" t="inlineStr">
        <is>
          <t>High</t>
        </is>
      </c>
      <c r="L18" s="2" t="inlineStr">
        <is>
          <t>evidence/DEF-019_cutoff_setting_not_applied.mp4</t>
        </is>
      </c>
      <c r="M18" s="3" t="inlineStr">
        <is>
          <t>TC-19-06</t>
        </is>
      </c>
      <c r="N18" s="2" t="inlineStr">
        <is>
          <t>QA - http://13.200.185.1/c/purushoth-kumar-efaa03 | Chrome, macOS</t>
        </is>
      </c>
      <c r="O18" s="2" t="inlineStr">
        <is>
          <t>Open</t>
        </is>
      </c>
      <c r="P18" s="25" t="n">
        <v>46309</v>
      </c>
    </row>
    <row r="19">
      <c r="A19" s="2" t="inlineStr">
        <is>
          <t>DEF-020</t>
        </is>
      </c>
      <c r="B19" s="3" t="inlineStr">
        <is>
          <t>Seller - CSV Import</t>
        </is>
      </c>
      <c r="C19" s="3" t="inlineStr">
        <is>
          <t>CSV import accepts negative stock and blank category without reporting errors</t>
        </is>
      </c>
      <c r="D19" s="2" t="inlineStr">
        <is>
          <t>When a CSV row has a negative stock value (-30) or a blank category, the import is reported as successful with zero errors. Invalid rows should be rejected and reported with their line number and reason.</t>
        </is>
      </c>
      <c r="E19" s="3" t="inlineStr">
        <is>
          <t>Logged in as seller1</t>
        </is>
      </c>
      <c r="F19" s="3" t="inlineStr">
        <is>
          <t>1. Log in as seller and open My Products
2. Prepare a CSV with valid product details but stock -30 and the category left blank
3. Upload the CSV using the product import option
4. Check the import message and error count
5. Check whether the invalid row was imported and whether an error with line number and reason is shown</t>
        </is>
      </c>
      <c r="G19" s="2" t="inlineStr">
        <is>
          <t>CSV rows SKU-910 Almond Oil and SKU-911 Almond powder: stock -30, category blank</t>
        </is>
      </c>
      <c r="H19" s="3" t="inlineStr">
        <is>
          <t>Valid rows should be imported successfully. Each invalid row should be reported with its line number and reason, and no invalid row should be silently accepted or dropped.</t>
        </is>
      </c>
      <c r="I19" s="3" t="inlineStr">
        <is>
          <t>Both uploads show 'Import complete: 1 rows, 0 errors'. The negative stock and blank category are not flagged or reported.</t>
        </is>
      </c>
      <c r="J19" s="3" t="inlineStr">
        <is>
          <t>Major</t>
        </is>
      </c>
      <c r="K19" s="3" t="inlineStr">
        <is>
          <t>High</t>
        </is>
      </c>
      <c r="L19" s="2" t="inlineStr">
        <is>
          <t>evidence/DEF-020_csv_invalid_stock_accepted.mp4</t>
        </is>
      </c>
      <c r="M19" s="3" t="inlineStr">
        <is>
          <t>TC-17-02</t>
        </is>
      </c>
      <c r="N19" s="2" t="inlineStr">
        <is>
          <t>QA - http://13.200.185.1/c/purushoth-kumar-efaa03 | Chrome, macOS</t>
        </is>
      </c>
      <c r="O19" s="2" t="inlineStr">
        <is>
          <t>Open</t>
        </is>
      </c>
      <c r="P19" s="25" t="n">
        <v>46309</v>
      </c>
    </row>
    <row r="20">
      <c r="A20" s="2" t="inlineStr">
        <is>
          <t>DEF-021</t>
        </is>
      </c>
      <c r="B20" s="2" t="inlineStr">
        <is>
          <t>Operator</t>
        </is>
      </c>
      <c r="C20" s="2" t="inlineStr">
        <is>
          <t>Logistics export shows slot end before slot start</t>
        </is>
      </c>
      <c r="D20" s="2" t="inlineStr">
        <is>
          <t>The logistics export swaps slot start and end: an order with slot 14:00-17:00 is exported as slot_start 17:00 and slot_end 14:00.</t>
        </is>
      </c>
      <c r="E20" s="2" t="inlineStr">
        <is>
          <t>Logged in as operator; at least one accepted/shipped order exists</t>
        </is>
      </c>
      <c r="F20" s="2" t="inlineStr">
        <is>
          <t>1. Logistics export
2. Click 'Run export now'
3. Open the downloaded CSV
4. Check slot_start and slot_end</t>
        </is>
      </c>
      <c r="G20" s="2" t="inlineStr">
        <is>
          <t>Logistics export CSV: WC-01028-1 (accepted, delivery 15/10/2026 14:00-17:00, 2 pieces)</t>
        </is>
      </c>
      <c r="H20" s="2" t="inlineStr">
        <is>
          <t>slot_start and slot_end should match the order's delivery slot: 14:00 and 17:00 for WC-01028-1. slot_end should always be after slot_start.</t>
        </is>
      </c>
      <c r="I20" s="2" t="inlineStr">
        <is>
          <t>The CSV shows slot_start 17:00 and slot_end 14:00 for WC-01028-1, whose slot is 14:00-17:00. The start and end times are swapped.</t>
        </is>
      </c>
      <c r="J20" s="2" t="inlineStr">
        <is>
          <t>Major</t>
        </is>
      </c>
      <c r="K20" s="2" t="inlineStr">
        <is>
          <t>High</t>
        </is>
      </c>
      <c r="L20" s="2" t="inlineStr">
        <is>
          <t>evidence/DEF-021_export_slot_times.mp4</t>
        </is>
      </c>
      <c r="M20" s="2" t="inlineStr">
        <is>
          <t>TC-19-01</t>
        </is>
      </c>
      <c r="N20" s="2" t="inlineStr">
        <is>
          <t>QA - http://13.200.185.1/c/purushoth-kumar-efaa03 | Chrome, macOS</t>
        </is>
      </c>
      <c r="O20" s="2" t="inlineStr">
        <is>
          <t>Open</t>
        </is>
      </c>
      <c r="P20" s="25" t="n">
        <v>46309</v>
      </c>
    </row>
    <row r="21">
      <c r="A21" s="2" t="inlineStr">
        <is>
          <t>DEF-022</t>
        </is>
      </c>
      <c r="B21" s="4" t="inlineStr">
        <is>
          <t>Invoices</t>
        </is>
      </c>
      <c r="C21" s="2" t="inlineStr">
        <is>
          <t>Invoice is missing the delivery fee line and seller GSTIN</t>
        </is>
      </c>
      <c r="D21" s="2" t="inlineStr">
        <is>
          <t>The invoice does not show the delivery fee as its own line and does not show the seller's GSTIN, both required by BR-19.</t>
        </is>
      </c>
      <c r="E21" s="4" t="inlineStr">
        <is>
          <t>Buyer should have one delivered order</t>
        </is>
      </c>
      <c r="F21" s="2" t="inlineStr">
        <is>
          <t>1. Log in as buyer
2. Place an order below ₹3,000 net (delivery fee applies)
3. Log in as seller and deliver the order
4. Log back in as buyer
5. Orders &gt; View the delivered order &gt; click Invoice
6. Check the invoice lines and the seller details</t>
        </is>
      </c>
      <c r="G21" s="4" t="inlineStr">
        <is>
          <t>INV-00045 / WC-01040-1: Chef's Coconut 1 case, net ₹2,240.00, tax ₹112.00, delivery fee ₹118.00</t>
        </is>
      </c>
      <c r="H21" s="2" t="inlineStr">
        <is>
          <t>The invoice should show the delivery fee (₹100 + 18% tax = ₹118.00) as its own line and the seller's GSTIN under the seller name (BR-19). Lines, tax and fee should add up to the total.</t>
        </is>
      </c>
      <c r="I21" s="2" t="inlineStr">
        <is>
          <t>Invoice INV-00045 shows only the Chef's Coconut line (net ₹2,240.00, tax ₹112.00). There is no delivery fee line and no seller GSTIN, although the Total ₹2,470.00 includes the ₹118.00 fee.</t>
        </is>
      </c>
      <c r="J21" s="2" t="inlineStr">
        <is>
          <t>Major</t>
        </is>
      </c>
      <c r="K21" s="2" t="inlineStr">
        <is>
          <t>High</t>
        </is>
      </c>
      <c r="L21" s="2" t="inlineStr">
        <is>
          <t>evidence/DEF-022_invoice_fee_missing_total_faded.png</t>
        </is>
      </c>
      <c r="M21" s="2" t="inlineStr">
        <is>
          <t>TC-12-01</t>
        </is>
      </c>
      <c r="N21" s="2" t="inlineStr">
        <is>
          <t>QA - http://13.200.185.1/c/purushoth-kumar-efaa03 | Chrome, macOS</t>
        </is>
      </c>
      <c r="O21" s="2" t="inlineStr">
        <is>
          <t>Open</t>
        </is>
      </c>
      <c r="P21" s="25" t="n">
        <v>46309</v>
      </c>
    </row>
    <row r="22">
      <c r="A22" s="2" t="inlineStr">
        <is>
          <t>DEF-023</t>
        </is>
      </c>
      <c r="B22" s="2" t="inlineStr">
        <is>
          <t>Seller - Orders</t>
        </is>
      </c>
      <c r="C22" s="2" t="inlineStr">
        <is>
          <t>Seller Orders page: Actions column not aligned with the rows</t>
        </is>
      </c>
      <c r="D22" s="2" t="inlineStr">
        <is>
          <t>Actions column on the seller Orders page is out of line for rows without buttons.</t>
        </is>
      </c>
      <c r="E22" s="2" t="inlineStr">
        <is>
          <t>Logged in as seller1; orders in different statuses</t>
        </is>
      </c>
      <c r="F22" s="2" t="inlineStr">
        <is>
          <t>1. Log in as seller1
2. Click Orders
3. Look at the Actions column for delivered, cancelled and delivery_failed rows</t>
        </is>
      </c>
      <c r="G22" s="2" t="inlineStr">
        <is>
          <t>seller1 Orders list (WC-01027-1 to WC-01018-1)</t>
        </is>
      </c>
      <c r="H22" s="2" t="inlineStr">
        <is>
          <t>Each row should line up across all columns, including the Actions column, whether or not the row has buttons.</t>
        </is>
      </c>
      <c r="I22" s="2" t="inlineStr">
        <is>
          <t>For rows without buttons (delivered, cancelled, delivery_failed), the Actions column cells are shifted and their row lines do not match the other columns.</t>
        </is>
      </c>
      <c r="J22" s="2" t="inlineStr">
        <is>
          <t>Minor</t>
        </is>
      </c>
      <c r="K22" s="2" t="inlineStr">
        <is>
          <t>Low</t>
        </is>
      </c>
      <c r="L22" s="2" t="inlineStr">
        <is>
          <t>evidence/DEF-023_seller_actions_alignment.png (screenshot, marked area)</t>
        </is>
      </c>
      <c r="M22" s="2" t="inlineStr">
        <is>
          <t>TC-15-04</t>
        </is>
      </c>
      <c r="N22" s="2" t="inlineStr">
        <is>
          <t>QA - http://13.200.185.1/c/purushoth-kumar-efaa03 | Chrome, macOS</t>
        </is>
      </c>
      <c r="O22" s="2" t="inlineStr">
        <is>
          <t>Open</t>
        </is>
      </c>
      <c r="P22" s="25" t="n">
        <v>46309</v>
      </c>
      <c r="Q22" s="5" t="n"/>
      <c r="R22" s="5" t="n"/>
      <c r="S22" s="5" t="n"/>
      <c r="T22" s="5" t="n"/>
      <c r="U22" s="5" t="n"/>
      <c r="V22" s="5" t="n"/>
      <c r="W22" s="5" t="n"/>
      <c r="X22" s="5" t="n"/>
      <c r="Y22" s="5" t="n"/>
      <c r="Z22" s="5" t="n"/>
    </row>
    <row r="23">
      <c r="A23" s="2" t="inlineStr">
        <is>
          <t>DEF-024</t>
        </is>
      </c>
      <c r="B23" s="2" t="inlineStr">
        <is>
          <t>Invoices</t>
        </is>
      </c>
      <c r="C23" s="2" t="inlineStr">
        <is>
          <t>Invoice total amount text is barely visible</t>
        </is>
      </c>
      <c r="D23" s="2" t="inlineStr">
        <is>
          <t>On the invoice page, the Total amount is shown in very faint text and is hard to read.</t>
        </is>
      </c>
      <c r="E23" s="2" t="inlineStr">
        <is>
          <t>Buyer should have one delivered order</t>
        </is>
      </c>
      <c r="F23" s="2" t="inlineStr">
        <is>
          <t>1. Log in as buyer
2. Orders &gt; View a delivered order
3. Click the Invoice link
4. Look at the Total next to Net and Tax</t>
        </is>
      </c>
      <c r="G23" s="2" t="inlineStr">
        <is>
          <t>INV-00045 / WC-01040-1</t>
        </is>
      </c>
      <c r="H23" s="2" t="inlineStr">
        <is>
          <t>The Total should be shown in clearly readable text, at least as visible as Net and Tax.</t>
        </is>
      </c>
      <c r="I23" s="2" t="inlineStr">
        <is>
          <t>The Total ₹2,470.00 is shown in very light text on a white background and is almost invisible.</t>
        </is>
      </c>
      <c r="J23" s="2" t="inlineStr">
        <is>
          <t>Minor</t>
        </is>
      </c>
      <c r="K23" s="2" t="inlineStr">
        <is>
          <t>Low</t>
        </is>
      </c>
      <c r="L23" s="2" t="inlineStr">
        <is>
          <t>evidence/DEF-022_invoice_fee_missing_total_faded.png</t>
        </is>
      </c>
      <c r="M23" s="2" t="inlineStr">
        <is>
          <t>TC-12-01</t>
        </is>
      </c>
      <c r="N23" s="2" t="inlineStr">
        <is>
          <t>QA - http://13.200.185.1/c/purushoth-kumar-efaa03 | Chrome, macOS</t>
        </is>
      </c>
      <c r="O23" s="2" t="inlineStr">
        <is>
          <t>Open</t>
        </is>
      </c>
      <c r="P23" s="25" t="n">
        <v>46309</v>
      </c>
      <c r="Q23" s="5" t="n"/>
      <c r="R23" s="5" t="n"/>
      <c r="S23" s="5" t="n"/>
      <c r="T23" s="5" t="n"/>
      <c r="U23" s="5" t="n"/>
      <c r="V23" s="5" t="n"/>
      <c r="W23" s="5" t="n"/>
      <c r="X23" s="5" t="n"/>
      <c r="Y23" s="5" t="n"/>
      <c r="Z23" s="5" t="n"/>
    </row>
    <row r="24">
      <c r="L24" s="5" t="n"/>
    </row>
    <row r="25">
      <c r="L25" s="5" t="n"/>
    </row>
    <row r="26">
      <c r="L26" s="5" t="n"/>
    </row>
    <row r="27">
      <c r="L27" s="5" t="n"/>
    </row>
    <row r="28">
      <c r="L28" s="5" t="n"/>
    </row>
    <row r="29">
      <c r="L29" s="5" t="n"/>
    </row>
    <row r="30">
      <c r="L30" s="5" t="n"/>
    </row>
    <row r="31">
      <c r="L31" s="5" t="n"/>
    </row>
    <row r="32">
      <c r="L32" s="5" t="n"/>
    </row>
    <row r="33">
      <c r="L33" s="5" t="n"/>
    </row>
    <row r="34">
      <c r="L34" s="5" t="n"/>
    </row>
    <row r="35">
      <c r="L35" s="5" t="n"/>
    </row>
    <row r="36">
      <c r="L36" s="5" t="n"/>
    </row>
    <row r="37">
      <c r="L37" s="5" t="n"/>
    </row>
    <row r="38">
      <c r="L38" s="5" t="n"/>
    </row>
    <row r="39">
      <c r="L39" s="5" t="n"/>
    </row>
    <row r="40">
      <c r="L40" s="5" t="n"/>
    </row>
    <row r="41">
      <c r="L41" s="5" t="n"/>
    </row>
    <row r="42">
      <c r="L42" s="5" t="n"/>
    </row>
    <row r="43">
      <c r="L43" s="5" t="n"/>
    </row>
    <row r="44">
      <c r="L44" s="5" t="n"/>
    </row>
    <row r="45">
      <c r="L45" s="5" t="n"/>
    </row>
    <row r="46">
      <c r="L46" s="5" t="n"/>
    </row>
    <row r="47">
      <c r="L47" s="5" t="n"/>
    </row>
    <row r="48">
      <c r="L48" s="5" t="n"/>
    </row>
    <row r="49">
      <c r="L49" s="5" t="n"/>
    </row>
    <row r="50">
      <c r="L50" s="5" t="n"/>
    </row>
    <row r="51">
      <c r="L51" s="5" t="n"/>
    </row>
    <row r="52">
      <c r="L52" s="5" t="n"/>
    </row>
    <row r="53">
      <c r="L53" s="5" t="n"/>
    </row>
    <row r="54">
      <c r="L54" s="5" t="n"/>
    </row>
    <row r="55">
      <c r="L55" s="5" t="n"/>
    </row>
    <row r="56">
      <c r="L56" s="5" t="n"/>
    </row>
    <row r="57">
      <c r="L57" s="5" t="n"/>
    </row>
    <row r="58">
      <c r="L58" s="5" t="n"/>
    </row>
    <row r="59">
      <c r="L59" s="5" t="n"/>
    </row>
    <row r="60">
      <c r="L60" s="5" t="n"/>
    </row>
    <row r="61">
      <c r="L61" s="5" t="n"/>
    </row>
    <row r="62">
      <c r="L62" s="5" t="n"/>
    </row>
    <row r="63">
      <c r="L63" s="5" t="n"/>
    </row>
    <row r="64">
      <c r="L64" s="5" t="n"/>
    </row>
    <row r="65">
      <c r="L65" s="5" t="n"/>
    </row>
    <row r="66">
      <c r="L66" s="5" t="n"/>
    </row>
    <row r="67">
      <c r="L67" s="5" t="n"/>
    </row>
    <row r="68">
      <c r="L68" s="5" t="n"/>
    </row>
    <row r="69">
      <c r="L69" s="5" t="n"/>
    </row>
    <row r="70">
      <c r="L70" s="5" t="n"/>
    </row>
    <row r="71">
      <c r="L71" s="5" t="n"/>
    </row>
    <row r="72">
      <c r="L72" s="5" t="n"/>
    </row>
    <row r="73">
      <c r="L73" s="5" t="n"/>
    </row>
    <row r="74">
      <c r="L74" s="5" t="n"/>
    </row>
    <row r="75">
      <c r="L75" s="5" t="n"/>
    </row>
    <row r="76">
      <c r="L76" s="5" t="n"/>
    </row>
    <row r="77">
      <c r="L77" s="5" t="n"/>
    </row>
    <row r="78">
      <c r="L78" s="5" t="n"/>
    </row>
    <row r="79">
      <c r="L79" s="5" t="n"/>
    </row>
    <row r="80">
      <c r="L80" s="5" t="n"/>
    </row>
    <row r="81">
      <c r="L81" s="5" t="n"/>
    </row>
    <row r="82">
      <c r="L82" s="5" t="n"/>
    </row>
    <row r="83">
      <c r="L83" s="5" t="n"/>
    </row>
    <row r="84">
      <c r="L84" s="5" t="n"/>
    </row>
    <row r="85">
      <c r="L85" s="5" t="n"/>
    </row>
    <row r="86">
      <c r="L86" s="5" t="n"/>
    </row>
    <row r="87">
      <c r="L87" s="5" t="n"/>
    </row>
    <row r="88">
      <c r="L88" s="5" t="n"/>
    </row>
    <row r="89">
      <c r="L89" s="5" t="n"/>
    </row>
    <row r="90">
      <c r="L90" s="5" t="n"/>
    </row>
    <row r="91">
      <c r="L91" s="5" t="n"/>
    </row>
    <row r="92">
      <c r="L92" s="5" t="n"/>
    </row>
    <row r="93">
      <c r="L93" s="5" t="n"/>
    </row>
    <row r="94">
      <c r="L94" s="5" t="n"/>
    </row>
    <row r="95">
      <c r="L95" s="5" t="n"/>
    </row>
    <row r="96">
      <c r="L96" s="5" t="n"/>
    </row>
    <row r="97">
      <c r="L97" s="5" t="n"/>
    </row>
    <row r="98">
      <c r="L98" s="5" t="n"/>
    </row>
    <row r="99">
      <c r="L99" s="5" t="n"/>
    </row>
    <row r="100">
      <c r="L100" s="5" t="n"/>
    </row>
    <row r="101">
      <c r="L101" s="5" t="n"/>
    </row>
    <row r="102">
      <c r="L102" s="5" t="n"/>
    </row>
    <row r="103">
      <c r="L103" s="5" t="n"/>
    </row>
    <row r="104">
      <c r="L104" s="5" t="n"/>
    </row>
    <row r="105">
      <c r="L105" s="5" t="n"/>
    </row>
    <row r="106">
      <c r="L106" s="5" t="n"/>
    </row>
    <row r="107">
      <c r="L107" s="5" t="n"/>
    </row>
    <row r="108">
      <c r="L108" s="5" t="n"/>
    </row>
    <row r="109">
      <c r="L109" s="5" t="n"/>
    </row>
    <row r="110">
      <c r="L110" s="5" t="n"/>
    </row>
    <row r="111">
      <c r="L111" s="5" t="n"/>
    </row>
    <row r="112">
      <c r="L112" s="5" t="n"/>
    </row>
    <row r="113">
      <c r="L113" s="5" t="n"/>
    </row>
    <row r="114">
      <c r="L114" s="5" t="n"/>
    </row>
    <row r="115">
      <c r="L115" s="5" t="n"/>
    </row>
    <row r="116">
      <c r="L116" s="5" t="n"/>
    </row>
    <row r="117">
      <c r="L117" s="5" t="n"/>
    </row>
    <row r="118">
      <c r="L118" s="5" t="n"/>
    </row>
    <row r="119">
      <c r="L119" s="5" t="n"/>
    </row>
    <row r="120">
      <c r="L120" s="5" t="n"/>
    </row>
    <row r="121">
      <c r="L121" s="5" t="n"/>
    </row>
    <row r="122">
      <c r="L122" s="5" t="n"/>
    </row>
    <row r="123">
      <c r="L123" s="5" t="n"/>
    </row>
    <row r="124">
      <c r="L124" s="5" t="n"/>
    </row>
    <row r="125">
      <c r="L125" s="5" t="n"/>
    </row>
    <row r="126">
      <c r="L126" s="5" t="n"/>
    </row>
    <row r="127">
      <c r="L127" s="5" t="n"/>
    </row>
    <row r="128">
      <c r="L128" s="5" t="n"/>
    </row>
    <row r="129">
      <c r="L129" s="5" t="n"/>
    </row>
    <row r="130">
      <c r="L130" s="5" t="n"/>
    </row>
    <row r="131">
      <c r="L131" s="5" t="n"/>
    </row>
    <row r="132">
      <c r="L132" s="5" t="n"/>
    </row>
    <row r="133">
      <c r="L133" s="5" t="n"/>
    </row>
    <row r="134">
      <c r="L134" s="5" t="n"/>
    </row>
    <row r="135">
      <c r="L135" s="5" t="n"/>
    </row>
    <row r="136">
      <c r="L136" s="5" t="n"/>
    </row>
    <row r="137">
      <c r="L137" s="5" t="n"/>
    </row>
    <row r="138">
      <c r="L138" s="5" t="n"/>
    </row>
    <row r="139">
      <c r="L139" s="5" t="n"/>
    </row>
    <row r="140">
      <c r="L140" s="5" t="n"/>
    </row>
    <row r="141">
      <c r="L141" s="5" t="n"/>
    </row>
    <row r="142">
      <c r="L142" s="5" t="n"/>
    </row>
    <row r="143">
      <c r="L143" s="5" t="n"/>
    </row>
    <row r="144">
      <c r="L144" s="5" t="n"/>
    </row>
    <row r="145">
      <c r="L145" s="5" t="n"/>
    </row>
    <row r="146">
      <c r="L146" s="5" t="n"/>
    </row>
    <row r="147">
      <c r="L147" s="5" t="n"/>
    </row>
    <row r="148">
      <c r="L148" s="5" t="n"/>
    </row>
    <row r="149">
      <c r="L149" s="5" t="n"/>
    </row>
    <row r="150">
      <c r="L150" s="5" t="n"/>
    </row>
    <row r="151">
      <c r="L151" s="5" t="n"/>
    </row>
    <row r="152">
      <c r="L152" s="5" t="n"/>
    </row>
    <row r="153">
      <c r="L153" s="5" t="n"/>
    </row>
    <row r="154">
      <c r="L154" s="5" t="n"/>
    </row>
    <row r="155">
      <c r="L155" s="5" t="n"/>
    </row>
    <row r="156">
      <c r="L156" s="5" t="n"/>
    </row>
    <row r="157">
      <c r="L157" s="5" t="n"/>
    </row>
    <row r="158">
      <c r="L158" s="5" t="n"/>
    </row>
    <row r="159">
      <c r="L159" s="5" t="n"/>
    </row>
    <row r="160">
      <c r="L160" s="5" t="n"/>
    </row>
    <row r="161">
      <c r="L161" s="5" t="n"/>
    </row>
    <row r="162">
      <c r="L162" s="5" t="n"/>
    </row>
    <row r="163">
      <c r="L163" s="5" t="n"/>
    </row>
    <row r="164">
      <c r="L164" s="5" t="n"/>
    </row>
    <row r="165">
      <c r="L165" s="5" t="n"/>
    </row>
    <row r="166">
      <c r="L166" s="5" t="n"/>
    </row>
    <row r="167">
      <c r="L167" s="5" t="n"/>
    </row>
    <row r="168">
      <c r="L168" s="5" t="n"/>
    </row>
    <row r="169">
      <c r="L169" s="5" t="n"/>
    </row>
    <row r="170">
      <c r="L170" s="5" t="n"/>
    </row>
    <row r="171">
      <c r="L171" s="5" t="n"/>
    </row>
    <row r="172">
      <c r="L172" s="5" t="n"/>
    </row>
    <row r="173">
      <c r="L173" s="5" t="n"/>
    </row>
    <row r="174">
      <c r="L174" s="5" t="n"/>
    </row>
    <row r="175">
      <c r="L175" s="5" t="n"/>
    </row>
    <row r="176">
      <c r="L176" s="5" t="n"/>
    </row>
    <row r="177">
      <c r="L177" s="5" t="n"/>
    </row>
    <row r="178">
      <c r="L178" s="5" t="n"/>
    </row>
    <row r="179">
      <c r="L179" s="5" t="n"/>
    </row>
    <row r="180">
      <c r="L180" s="5" t="n"/>
    </row>
    <row r="181">
      <c r="L181" s="5" t="n"/>
    </row>
    <row r="182">
      <c r="L182" s="5" t="n"/>
    </row>
    <row r="183">
      <c r="L183" s="5" t="n"/>
    </row>
    <row r="184">
      <c r="L184" s="5" t="n"/>
    </row>
    <row r="185">
      <c r="L185" s="5" t="n"/>
    </row>
    <row r="186">
      <c r="L186" s="5" t="n"/>
    </row>
    <row r="187">
      <c r="L187" s="5" t="n"/>
    </row>
    <row r="188">
      <c r="L188" s="5" t="n"/>
    </row>
    <row r="189">
      <c r="L189" s="5" t="n"/>
    </row>
    <row r="190">
      <c r="L190" s="5" t="n"/>
    </row>
    <row r="191">
      <c r="L191" s="5" t="n"/>
    </row>
    <row r="192">
      <c r="L192" s="5" t="n"/>
    </row>
    <row r="193">
      <c r="L193" s="5" t="n"/>
    </row>
    <row r="194">
      <c r="L194" s="5" t="n"/>
    </row>
    <row r="195">
      <c r="L195" s="5" t="n"/>
    </row>
    <row r="196">
      <c r="L196" s="5" t="n"/>
    </row>
    <row r="197">
      <c r="L197" s="5" t="n"/>
    </row>
    <row r="198">
      <c r="L198" s="5" t="n"/>
    </row>
    <row r="199">
      <c r="L199" s="5" t="n"/>
    </row>
    <row r="200">
      <c r="L200" s="5" t="n"/>
    </row>
    <row r="201">
      <c r="L201" s="5" t="n"/>
    </row>
    <row r="202">
      <c r="L202" s="5" t="n"/>
    </row>
    <row r="203">
      <c r="L203" s="5" t="n"/>
    </row>
    <row r="204">
      <c r="L204" s="5" t="n"/>
    </row>
    <row r="205">
      <c r="L205" s="5" t="n"/>
    </row>
    <row r="206">
      <c r="L206" s="5" t="n"/>
    </row>
    <row r="207">
      <c r="L207" s="5" t="n"/>
    </row>
    <row r="208">
      <c r="L208" s="5" t="n"/>
    </row>
    <row r="209">
      <c r="L209" s="5" t="n"/>
    </row>
    <row r="210">
      <c r="L210" s="5" t="n"/>
    </row>
    <row r="211">
      <c r="L211" s="5" t="n"/>
    </row>
    <row r="212">
      <c r="L212" s="5" t="n"/>
    </row>
    <row r="213">
      <c r="L213" s="5" t="n"/>
    </row>
    <row r="214">
      <c r="L214" s="5" t="n"/>
    </row>
    <row r="215">
      <c r="L215" s="5" t="n"/>
    </row>
    <row r="216">
      <c r="L216" s="5" t="n"/>
    </row>
    <row r="217">
      <c r="L217" s="5" t="n"/>
    </row>
    <row r="218">
      <c r="L218" s="5" t="n"/>
    </row>
    <row r="219">
      <c r="L219" s="5" t="n"/>
    </row>
    <row r="220">
      <c r="L220" s="5" t="n"/>
    </row>
    <row r="221">
      <c r="L221" s="5" t="n"/>
    </row>
    <row r="222">
      <c r="L222" s="5" t="n"/>
    </row>
    <row r="223">
      <c r="L223" s="5" t="n"/>
    </row>
    <row r="224">
      <c r="L224" s="5" t="n"/>
    </row>
    <row r="225">
      <c r="L225" s="5" t="n"/>
    </row>
    <row r="226">
      <c r="L226" s="5" t="n"/>
    </row>
    <row r="227">
      <c r="L227" s="5" t="n"/>
    </row>
    <row r="228">
      <c r="L228" s="5" t="n"/>
    </row>
    <row r="229">
      <c r="L229" s="5" t="n"/>
    </row>
    <row r="230">
      <c r="L230" s="5" t="n"/>
    </row>
    <row r="231">
      <c r="L231" s="5" t="n"/>
    </row>
    <row r="232">
      <c r="L232" s="5" t="n"/>
    </row>
    <row r="233">
      <c r="L233" s="5" t="n"/>
    </row>
    <row r="234">
      <c r="L234" s="5" t="n"/>
    </row>
    <row r="235">
      <c r="L235" s="5" t="n"/>
    </row>
    <row r="236">
      <c r="L236" s="5" t="n"/>
    </row>
    <row r="237">
      <c r="L237" s="5" t="n"/>
    </row>
    <row r="238">
      <c r="L238" s="5" t="n"/>
    </row>
    <row r="239">
      <c r="L239" s="5" t="n"/>
    </row>
    <row r="240">
      <c r="L240" s="5" t="n"/>
    </row>
    <row r="241">
      <c r="L241" s="5" t="n"/>
    </row>
    <row r="242">
      <c r="L242" s="5" t="n"/>
    </row>
    <row r="243">
      <c r="L243" s="5" t="n"/>
    </row>
    <row r="244">
      <c r="L244" s="5" t="n"/>
    </row>
    <row r="245">
      <c r="L245" s="5" t="n"/>
    </row>
    <row r="246">
      <c r="L246" s="5" t="n"/>
    </row>
    <row r="247">
      <c r="L247" s="5" t="n"/>
    </row>
    <row r="248">
      <c r="L248" s="5" t="n"/>
    </row>
    <row r="249">
      <c r="L249" s="5" t="n"/>
    </row>
    <row r="250">
      <c r="L250" s="5" t="n"/>
    </row>
    <row r="251">
      <c r="L251" s="5" t="n"/>
    </row>
    <row r="252">
      <c r="L252" s="5" t="n"/>
    </row>
    <row r="253">
      <c r="L253" s="5" t="n"/>
    </row>
    <row r="254">
      <c r="L254" s="5" t="n"/>
    </row>
    <row r="255">
      <c r="L255" s="5" t="n"/>
    </row>
    <row r="256">
      <c r="L256" s="5" t="n"/>
    </row>
    <row r="257">
      <c r="L257" s="5" t="n"/>
    </row>
    <row r="258">
      <c r="L258" s="5" t="n"/>
    </row>
    <row r="259">
      <c r="L259" s="5" t="n"/>
    </row>
    <row r="260">
      <c r="L260" s="5" t="n"/>
    </row>
    <row r="261">
      <c r="L261" s="5" t="n"/>
    </row>
    <row r="262">
      <c r="L262" s="5" t="n"/>
    </row>
    <row r="263">
      <c r="L263" s="5" t="n"/>
    </row>
    <row r="264">
      <c r="L264" s="5" t="n"/>
    </row>
    <row r="265">
      <c r="L265" s="5" t="n"/>
    </row>
    <row r="266">
      <c r="L266" s="5" t="n"/>
    </row>
    <row r="267">
      <c r="L267" s="5" t="n"/>
    </row>
    <row r="268">
      <c r="L268" s="5" t="n"/>
    </row>
    <row r="269">
      <c r="L269" s="5" t="n"/>
    </row>
    <row r="270">
      <c r="L270" s="5" t="n"/>
    </row>
    <row r="271">
      <c r="L271" s="5" t="n"/>
    </row>
    <row r="272">
      <c r="L272" s="5" t="n"/>
    </row>
    <row r="273">
      <c r="L273" s="5" t="n"/>
    </row>
    <row r="274">
      <c r="L274" s="5" t="n"/>
    </row>
    <row r="275">
      <c r="L275" s="5" t="n"/>
    </row>
    <row r="276">
      <c r="L276" s="5" t="n"/>
    </row>
    <row r="277">
      <c r="L277" s="5" t="n"/>
    </row>
    <row r="278">
      <c r="L278" s="5" t="n"/>
    </row>
    <row r="279">
      <c r="L279" s="5" t="n"/>
    </row>
    <row r="280">
      <c r="L280" s="5" t="n"/>
    </row>
    <row r="281">
      <c r="L281" s="5" t="n"/>
    </row>
    <row r="282">
      <c r="L282" s="5" t="n"/>
    </row>
    <row r="283">
      <c r="L283" s="5" t="n"/>
    </row>
    <row r="284">
      <c r="L284" s="5" t="n"/>
    </row>
    <row r="285">
      <c r="L285" s="5" t="n"/>
    </row>
    <row r="286">
      <c r="L286" s="5" t="n"/>
    </row>
    <row r="287">
      <c r="L287" s="5" t="n"/>
    </row>
    <row r="288">
      <c r="L288" s="5" t="n"/>
    </row>
    <row r="289">
      <c r="L289" s="5" t="n"/>
    </row>
    <row r="290">
      <c r="L290" s="5" t="n"/>
    </row>
    <row r="291">
      <c r="L291" s="5" t="n"/>
    </row>
    <row r="292">
      <c r="L292" s="5" t="n"/>
    </row>
    <row r="293">
      <c r="L293" s="5" t="n"/>
    </row>
    <row r="294">
      <c r="L294" s="5" t="n"/>
    </row>
    <row r="295">
      <c r="L295" s="5" t="n"/>
    </row>
    <row r="296">
      <c r="L296" s="5" t="n"/>
    </row>
    <row r="297">
      <c r="L297" s="5" t="n"/>
    </row>
    <row r="298">
      <c r="L298" s="5" t="n"/>
    </row>
    <row r="299">
      <c r="L299" s="5" t="n"/>
    </row>
    <row r="300">
      <c r="L300" s="5" t="n"/>
    </row>
    <row r="301">
      <c r="L301" s="5" t="n"/>
    </row>
    <row r="302">
      <c r="L302" s="5" t="n"/>
    </row>
    <row r="303">
      <c r="L303" s="5" t="n"/>
    </row>
    <row r="304">
      <c r="L304" s="5" t="n"/>
    </row>
    <row r="305">
      <c r="L305" s="5" t="n"/>
    </row>
    <row r="306">
      <c r="L306" s="5" t="n"/>
    </row>
    <row r="307">
      <c r="L307" s="5" t="n"/>
    </row>
    <row r="308">
      <c r="L308" s="5" t="n"/>
    </row>
    <row r="309">
      <c r="L309" s="5" t="n"/>
    </row>
    <row r="310">
      <c r="L310" s="5" t="n"/>
    </row>
    <row r="311">
      <c r="L311" s="5" t="n"/>
    </row>
    <row r="312">
      <c r="L312" s="5" t="n"/>
    </row>
    <row r="313">
      <c r="L313" s="5" t="n"/>
    </row>
    <row r="314">
      <c r="L314" s="5" t="n"/>
    </row>
    <row r="315">
      <c r="L315" s="5" t="n"/>
    </row>
    <row r="316">
      <c r="L316" s="5" t="n"/>
    </row>
    <row r="317">
      <c r="L317" s="5" t="n"/>
    </row>
    <row r="318">
      <c r="L318" s="5" t="n"/>
    </row>
    <row r="319">
      <c r="L319" s="5" t="n"/>
    </row>
    <row r="320">
      <c r="L320" s="5" t="n"/>
    </row>
    <row r="321">
      <c r="L321" s="5" t="n"/>
    </row>
    <row r="322">
      <c r="L322" s="5" t="n"/>
    </row>
    <row r="323">
      <c r="L323" s="5" t="n"/>
    </row>
    <row r="324">
      <c r="L324" s="5" t="n"/>
    </row>
    <row r="325">
      <c r="L325" s="5" t="n"/>
    </row>
    <row r="326">
      <c r="L326" s="5" t="n"/>
    </row>
    <row r="327">
      <c r="L327" s="5" t="n"/>
    </row>
    <row r="328">
      <c r="L328" s="5" t="n"/>
    </row>
    <row r="329">
      <c r="L329" s="5" t="n"/>
    </row>
    <row r="330">
      <c r="L330" s="5" t="n"/>
    </row>
    <row r="331">
      <c r="L331" s="5" t="n"/>
    </row>
    <row r="332">
      <c r="L332" s="5" t="n"/>
    </row>
    <row r="333">
      <c r="L333" s="5" t="n"/>
    </row>
    <row r="334">
      <c r="L334" s="5" t="n"/>
    </row>
    <row r="335">
      <c r="L335" s="5" t="n"/>
    </row>
    <row r="336">
      <c r="L336" s="5" t="n"/>
    </row>
    <row r="337">
      <c r="L337" s="5" t="n"/>
    </row>
    <row r="338">
      <c r="L338" s="5" t="n"/>
    </row>
    <row r="339">
      <c r="L339" s="5" t="n"/>
    </row>
    <row r="340">
      <c r="L340" s="5" t="n"/>
    </row>
    <row r="341">
      <c r="L341" s="5" t="n"/>
    </row>
    <row r="342">
      <c r="L342" s="5" t="n"/>
    </row>
    <row r="343">
      <c r="L343" s="5" t="n"/>
    </row>
    <row r="344">
      <c r="L344" s="5" t="n"/>
    </row>
    <row r="345">
      <c r="L345" s="5" t="n"/>
    </row>
    <row r="346">
      <c r="L346" s="5" t="n"/>
    </row>
    <row r="347">
      <c r="L347" s="5" t="n"/>
    </row>
    <row r="348">
      <c r="L348" s="5" t="n"/>
    </row>
    <row r="349">
      <c r="L349" s="5" t="n"/>
    </row>
    <row r="350">
      <c r="L350" s="5" t="n"/>
    </row>
    <row r="351">
      <c r="L351" s="5" t="n"/>
    </row>
    <row r="352">
      <c r="L352" s="5" t="n"/>
    </row>
    <row r="353">
      <c r="L353" s="5" t="n"/>
    </row>
    <row r="354">
      <c r="L354" s="5" t="n"/>
    </row>
    <row r="355">
      <c r="L355" s="5" t="n"/>
    </row>
    <row r="356">
      <c r="L356" s="5" t="n"/>
    </row>
    <row r="357">
      <c r="L357" s="5" t="n"/>
    </row>
    <row r="358">
      <c r="L358" s="5" t="n"/>
    </row>
    <row r="359">
      <c r="L359" s="5" t="n"/>
    </row>
    <row r="360">
      <c r="L360" s="5" t="n"/>
    </row>
    <row r="361">
      <c r="L361" s="5" t="n"/>
    </row>
    <row r="362">
      <c r="L362" s="5" t="n"/>
    </row>
    <row r="363">
      <c r="L363" s="5" t="n"/>
    </row>
    <row r="364">
      <c r="L364" s="5" t="n"/>
    </row>
    <row r="365">
      <c r="L365" s="5" t="n"/>
    </row>
    <row r="366">
      <c r="L366" s="5" t="n"/>
    </row>
    <row r="367">
      <c r="L367" s="5" t="n"/>
    </row>
    <row r="368">
      <c r="L368" s="5" t="n"/>
    </row>
    <row r="369">
      <c r="L369" s="5" t="n"/>
    </row>
    <row r="370">
      <c r="L370" s="5" t="n"/>
    </row>
    <row r="371">
      <c r="L371" s="5" t="n"/>
    </row>
    <row r="372">
      <c r="L372" s="5" t="n"/>
    </row>
    <row r="373">
      <c r="L373" s="5" t="n"/>
    </row>
    <row r="374">
      <c r="L374" s="5" t="n"/>
    </row>
    <row r="375">
      <c r="L375" s="5" t="n"/>
    </row>
    <row r="376">
      <c r="L376" s="5" t="n"/>
    </row>
    <row r="377">
      <c r="L377" s="5" t="n"/>
    </row>
    <row r="378">
      <c r="L378" s="5" t="n"/>
    </row>
    <row r="379">
      <c r="L379" s="5" t="n"/>
    </row>
    <row r="380">
      <c r="L380" s="5" t="n"/>
    </row>
    <row r="381">
      <c r="L381" s="5" t="n"/>
    </row>
    <row r="382">
      <c r="L382" s="5" t="n"/>
    </row>
    <row r="383">
      <c r="L383" s="5" t="n"/>
    </row>
    <row r="384">
      <c r="L384" s="5" t="n"/>
    </row>
    <row r="385">
      <c r="L385" s="5" t="n"/>
    </row>
    <row r="386">
      <c r="L386" s="5" t="n"/>
    </row>
    <row r="387">
      <c r="L387" s="5" t="n"/>
    </row>
    <row r="388">
      <c r="L388" s="5" t="n"/>
    </row>
    <row r="389">
      <c r="L389" s="5" t="n"/>
    </row>
    <row r="390">
      <c r="L390" s="5" t="n"/>
    </row>
    <row r="391">
      <c r="L391" s="5" t="n"/>
    </row>
    <row r="392">
      <c r="L392" s="5" t="n"/>
    </row>
    <row r="393">
      <c r="L393" s="5" t="n"/>
    </row>
    <row r="394">
      <c r="L394" s="5" t="n"/>
    </row>
    <row r="395">
      <c r="L395" s="5" t="n"/>
    </row>
    <row r="396">
      <c r="L396" s="5" t="n"/>
    </row>
    <row r="397">
      <c r="L397" s="5" t="n"/>
    </row>
    <row r="398">
      <c r="L398" s="5" t="n"/>
    </row>
    <row r="399">
      <c r="L399" s="5" t="n"/>
    </row>
    <row r="400">
      <c r="L400" s="5" t="n"/>
    </row>
    <row r="401">
      <c r="L401" s="5" t="n"/>
    </row>
    <row r="402">
      <c r="L402" s="5" t="n"/>
    </row>
    <row r="403">
      <c r="L403" s="5" t="n"/>
    </row>
    <row r="404">
      <c r="L404" s="5" t="n"/>
    </row>
    <row r="405">
      <c r="L405" s="5" t="n"/>
    </row>
    <row r="406">
      <c r="L406" s="5" t="n"/>
    </row>
    <row r="407">
      <c r="L407" s="5" t="n"/>
    </row>
    <row r="408">
      <c r="L408" s="5" t="n"/>
    </row>
    <row r="409">
      <c r="L409" s="5" t="n"/>
    </row>
    <row r="410">
      <c r="L410" s="5" t="n"/>
    </row>
    <row r="411">
      <c r="L411" s="5" t="n"/>
    </row>
    <row r="412">
      <c r="L412" s="5" t="n"/>
    </row>
    <row r="413">
      <c r="L413" s="5" t="n"/>
    </row>
    <row r="414">
      <c r="L414" s="5" t="n"/>
    </row>
    <row r="415">
      <c r="L415" s="5" t="n"/>
    </row>
    <row r="416">
      <c r="L416" s="5" t="n"/>
    </row>
    <row r="417">
      <c r="L417" s="5" t="n"/>
    </row>
    <row r="418">
      <c r="L418" s="5" t="n"/>
    </row>
    <row r="419">
      <c r="L419" s="5" t="n"/>
    </row>
    <row r="420">
      <c r="L420" s="5" t="n"/>
    </row>
    <row r="421">
      <c r="L421" s="5" t="n"/>
    </row>
    <row r="422">
      <c r="L422" s="5" t="n"/>
    </row>
    <row r="423">
      <c r="L423" s="5" t="n"/>
    </row>
    <row r="424">
      <c r="L424" s="5" t="n"/>
    </row>
    <row r="425">
      <c r="L425" s="5" t="n"/>
    </row>
    <row r="426">
      <c r="L426" s="5" t="n"/>
    </row>
    <row r="427">
      <c r="L427" s="5" t="n"/>
    </row>
    <row r="428">
      <c r="L428" s="5" t="n"/>
    </row>
    <row r="429">
      <c r="L429" s="5" t="n"/>
    </row>
    <row r="430">
      <c r="L430" s="5" t="n"/>
    </row>
    <row r="431">
      <c r="L431" s="5" t="n"/>
    </row>
    <row r="432">
      <c r="L432" s="5" t="n"/>
    </row>
    <row r="433">
      <c r="L433" s="5" t="n"/>
    </row>
    <row r="434">
      <c r="L434" s="5" t="n"/>
    </row>
    <row r="435">
      <c r="L435" s="5" t="n"/>
    </row>
    <row r="436">
      <c r="L436" s="5" t="n"/>
    </row>
    <row r="437">
      <c r="L437" s="5" t="n"/>
    </row>
    <row r="438">
      <c r="L438" s="5" t="n"/>
    </row>
    <row r="439">
      <c r="L439" s="5" t="n"/>
    </row>
    <row r="440">
      <c r="L440" s="5" t="n"/>
    </row>
    <row r="441">
      <c r="L441" s="5" t="n"/>
    </row>
    <row r="442">
      <c r="L442" s="5" t="n"/>
    </row>
    <row r="443">
      <c r="L443" s="5" t="n"/>
    </row>
    <row r="444">
      <c r="L444" s="5" t="n"/>
    </row>
    <row r="445">
      <c r="L445" s="5" t="n"/>
    </row>
    <row r="446">
      <c r="L446" s="5" t="n"/>
    </row>
    <row r="447">
      <c r="L447" s="5" t="n"/>
    </row>
    <row r="448">
      <c r="L448" s="5" t="n"/>
    </row>
    <row r="449">
      <c r="L449" s="5" t="n"/>
    </row>
    <row r="450">
      <c r="L450" s="5" t="n"/>
    </row>
    <row r="451">
      <c r="L451" s="5" t="n"/>
    </row>
    <row r="452">
      <c r="L452" s="5" t="n"/>
    </row>
    <row r="453">
      <c r="L453" s="5" t="n"/>
    </row>
    <row r="454">
      <c r="L454" s="5" t="n"/>
    </row>
    <row r="455">
      <c r="L455" s="5" t="n"/>
    </row>
    <row r="456">
      <c r="L456" s="5" t="n"/>
    </row>
    <row r="457">
      <c r="L457" s="5" t="n"/>
    </row>
    <row r="458">
      <c r="L458" s="5" t="n"/>
    </row>
    <row r="459">
      <c r="L459" s="5" t="n"/>
    </row>
    <row r="460">
      <c r="L460" s="5" t="n"/>
    </row>
    <row r="461">
      <c r="L461" s="5" t="n"/>
    </row>
    <row r="462">
      <c r="L462" s="5" t="n"/>
    </row>
    <row r="463">
      <c r="L463" s="5" t="n"/>
    </row>
    <row r="464">
      <c r="L464" s="5" t="n"/>
    </row>
    <row r="465">
      <c r="L465" s="5" t="n"/>
    </row>
    <row r="466">
      <c r="L466" s="5" t="n"/>
    </row>
    <row r="467">
      <c r="L467" s="5" t="n"/>
    </row>
    <row r="468">
      <c r="L468" s="5" t="n"/>
    </row>
    <row r="469">
      <c r="L469" s="5" t="n"/>
    </row>
    <row r="470">
      <c r="L470" s="5" t="n"/>
    </row>
    <row r="471">
      <c r="L471" s="5" t="n"/>
    </row>
    <row r="472">
      <c r="L472" s="5" t="n"/>
    </row>
    <row r="473">
      <c r="L473" s="5" t="n"/>
    </row>
    <row r="474">
      <c r="L474" s="5" t="n"/>
    </row>
    <row r="475">
      <c r="L475" s="5" t="n"/>
    </row>
    <row r="476">
      <c r="L476" s="5" t="n"/>
    </row>
    <row r="477">
      <c r="L477" s="5" t="n"/>
    </row>
    <row r="478">
      <c r="L478" s="5" t="n"/>
    </row>
    <row r="479">
      <c r="L479" s="5" t="n"/>
    </row>
    <row r="480">
      <c r="L480" s="5" t="n"/>
    </row>
    <row r="481">
      <c r="L481" s="5" t="n"/>
    </row>
    <row r="482">
      <c r="L482" s="5" t="n"/>
    </row>
    <row r="483">
      <c r="L483" s="5" t="n"/>
    </row>
    <row r="484">
      <c r="L484" s="5" t="n"/>
    </row>
    <row r="485">
      <c r="L485" s="5" t="n"/>
    </row>
    <row r="486">
      <c r="L486" s="5" t="n"/>
    </row>
    <row r="487">
      <c r="L487" s="5" t="n"/>
    </row>
    <row r="488">
      <c r="L488" s="5" t="n"/>
    </row>
    <row r="489">
      <c r="L489" s="5" t="n"/>
    </row>
    <row r="490">
      <c r="L490" s="5" t="n"/>
    </row>
    <row r="491">
      <c r="L491" s="5" t="n"/>
    </row>
    <row r="492">
      <c r="L492" s="5" t="n"/>
    </row>
    <row r="493">
      <c r="L493" s="5" t="n"/>
    </row>
    <row r="494">
      <c r="L494" s="5" t="n"/>
    </row>
    <row r="495">
      <c r="L495" s="5" t="n"/>
    </row>
    <row r="496">
      <c r="L496" s="5" t="n"/>
    </row>
    <row r="497">
      <c r="L497" s="5" t="n"/>
    </row>
    <row r="498">
      <c r="L498" s="5" t="n"/>
    </row>
    <row r="499">
      <c r="L499" s="5" t="n"/>
    </row>
    <row r="500">
      <c r="L500" s="5" t="n"/>
    </row>
    <row r="501">
      <c r="L501" s="5" t="n"/>
    </row>
    <row r="502">
      <c r="L502" s="5" t="n"/>
    </row>
    <row r="503">
      <c r="L503" s="5" t="n"/>
    </row>
    <row r="504">
      <c r="L504" s="5" t="n"/>
    </row>
    <row r="505">
      <c r="L505" s="5" t="n"/>
    </row>
    <row r="506">
      <c r="L506" s="5" t="n"/>
    </row>
    <row r="507">
      <c r="L507" s="5" t="n"/>
    </row>
    <row r="508">
      <c r="L508" s="5" t="n"/>
    </row>
    <row r="509">
      <c r="L509" s="5" t="n"/>
    </row>
    <row r="510">
      <c r="L510" s="5" t="n"/>
    </row>
    <row r="511">
      <c r="L511" s="5" t="n"/>
    </row>
    <row r="512">
      <c r="L512" s="5" t="n"/>
    </row>
    <row r="513">
      <c r="L513" s="5" t="n"/>
    </row>
    <row r="514">
      <c r="L514" s="5" t="n"/>
    </row>
    <row r="515">
      <c r="L515" s="5" t="n"/>
    </row>
    <row r="516">
      <c r="L516" s="5" t="n"/>
    </row>
    <row r="517">
      <c r="L517" s="5" t="n"/>
    </row>
    <row r="518">
      <c r="L518" s="5" t="n"/>
    </row>
    <row r="519">
      <c r="L519" s="5" t="n"/>
    </row>
    <row r="520">
      <c r="L520" s="5" t="n"/>
    </row>
    <row r="521">
      <c r="L521" s="5" t="n"/>
    </row>
    <row r="522">
      <c r="L522" s="5" t="n"/>
    </row>
    <row r="523">
      <c r="L523" s="5" t="n"/>
    </row>
    <row r="524">
      <c r="L524" s="5" t="n"/>
    </row>
    <row r="525">
      <c r="L525" s="5" t="n"/>
    </row>
    <row r="526">
      <c r="L526" s="5" t="n"/>
    </row>
    <row r="527">
      <c r="L527" s="5" t="n"/>
    </row>
    <row r="528">
      <c r="L528" s="5" t="n"/>
    </row>
    <row r="529">
      <c r="L529" s="5" t="n"/>
    </row>
    <row r="530">
      <c r="L530" s="5" t="n"/>
    </row>
    <row r="531">
      <c r="L531" s="5" t="n"/>
    </row>
    <row r="532">
      <c r="L532" s="5" t="n"/>
    </row>
    <row r="533">
      <c r="L533" s="5" t="n"/>
    </row>
    <row r="534">
      <c r="L534" s="5" t="n"/>
    </row>
    <row r="535">
      <c r="L535" s="5" t="n"/>
    </row>
    <row r="536">
      <c r="L536" s="5" t="n"/>
    </row>
    <row r="537">
      <c r="L537" s="5" t="n"/>
    </row>
    <row r="538">
      <c r="L538" s="5" t="n"/>
    </row>
    <row r="539">
      <c r="L539" s="5" t="n"/>
    </row>
    <row r="540">
      <c r="L540" s="5" t="n"/>
    </row>
    <row r="541">
      <c r="L541" s="5" t="n"/>
    </row>
    <row r="542">
      <c r="L542" s="5" t="n"/>
    </row>
    <row r="543">
      <c r="L543" s="5" t="n"/>
    </row>
    <row r="544">
      <c r="L544" s="5" t="n"/>
    </row>
    <row r="545">
      <c r="L545" s="5" t="n"/>
    </row>
    <row r="546">
      <c r="L546" s="5" t="n"/>
    </row>
    <row r="547">
      <c r="L547" s="5" t="n"/>
    </row>
    <row r="548">
      <c r="L548" s="5" t="n"/>
    </row>
    <row r="549">
      <c r="L549" s="5" t="n"/>
    </row>
    <row r="550">
      <c r="L550" s="5" t="n"/>
    </row>
    <row r="551">
      <c r="L551" s="5" t="n"/>
    </row>
    <row r="552">
      <c r="L552" s="5" t="n"/>
    </row>
    <row r="553">
      <c r="L553" s="5" t="n"/>
    </row>
    <row r="554">
      <c r="L554" s="5" t="n"/>
    </row>
    <row r="555">
      <c r="L555" s="5" t="n"/>
    </row>
    <row r="556">
      <c r="L556" s="5" t="n"/>
    </row>
    <row r="557">
      <c r="L557" s="5" t="n"/>
    </row>
    <row r="558">
      <c r="L558" s="5" t="n"/>
    </row>
    <row r="559">
      <c r="L559" s="5" t="n"/>
    </row>
    <row r="560">
      <c r="L560" s="5" t="n"/>
    </row>
    <row r="561">
      <c r="L561" s="5" t="n"/>
    </row>
    <row r="562">
      <c r="L562" s="5" t="n"/>
    </row>
    <row r="563">
      <c r="L563" s="5" t="n"/>
    </row>
    <row r="564">
      <c r="L564" s="5" t="n"/>
    </row>
    <row r="565">
      <c r="L565" s="5" t="n"/>
    </row>
    <row r="566">
      <c r="L566" s="5" t="n"/>
    </row>
    <row r="567">
      <c r="L567" s="5" t="n"/>
    </row>
    <row r="568">
      <c r="L568" s="5" t="n"/>
    </row>
    <row r="569">
      <c r="L569" s="5" t="n"/>
    </row>
    <row r="570">
      <c r="L570" s="5" t="n"/>
    </row>
    <row r="571">
      <c r="L571" s="5" t="n"/>
    </row>
    <row r="572">
      <c r="L572" s="5" t="n"/>
    </row>
    <row r="573">
      <c r="L573" s="5" t="n"/>
    </row>
    <row r="574">
      <c r="L574" s="5" t="n"/>
    </row>
    <row r="575">
      <c r="L575" s="5" t="n"/>
    </row>
    <row r="576">
      <c r="L576" s="5" t="n"/>
    </row>
    <row r="577">
      <c r="L577" s="5" t="n"/>
    </row>
    <row r="578">
      <c r="L578" s="5" t="n"/>
    </row>
    <row r="579">
      <c r="L579" s="5" t="n"/>
    </row>
    <row r="580">
      <c r="L580" s="5" t="n"/>
    </row>
    <row r="581">
      <c r="L581" s="5" t="n"/>
    </row>
    <row r="582">
      <c r="L582" s="5" t="n"/>
    </row>
    <row r="583">
      <c r="L583" s="5" t="n"/>
    </row>
    <row r="584">
      <c r="L584" s="5" t="n"/>
    </row>
    <row r="585">
      <c r="L585" s="5" t="n"/>
    </row>
    <row r="586">
      <c r="L586" s="5" t="n"/>
    </row>
    <row r="587">
      <c r="L587" s="5" t="n"/>
    </row>
    <row r="588">
      <c r="L588" s="5" t="n"/>
    </row>
    <row r="589">
      <c r="L589" s="5" t="n"/>
    </row>
    <row r="590">
      <c r="L590" s="5" t="n"/>
    </row>
    <row r="591">
      <c r="L591" s="5" t="n"/>
    </row>
    <row r="592">
      <c r="L592" s="5" t="n"/>
    </row>
    <row r="593">
      <c r="L593" s="5" t="n"/>
    </row>
    <row r="594">
      <c r="L594" s="5" t="n"/>
    </row>
    <row r="595">
      <c r="L595" s="5" t="n"/>
    </row>
    <row r="596">
      <c r="L596" s="5" t="n"/>
    </row>
    <row r="597">
      <c r="L597" s="5" t="n"/>
    </row>
    <row r="598">
      <c r="L598" s="5" t="n"/>
    </row>
    <row r="599">
      <c r="L599" s="5" t="n"/>
    </row>
    <row r="600">
      <c r="L600" s="5" t="n"/>
    </row>
    <row r="601">
      <c r="L601" s="5" t="n"/>
    </row>
    <row r="602">
      <c r="L602" s="5" t="n"/>
    </row>
    <row r="603">
      <c r="L603" s="5" t="n"/>
    </row>
    <row r="604">
      <c r="L604" s="5" t="n"/>
    </row>
    <row r="605">
      <c r="L605" s="5" t="n"/>
    </row>
    <row r="606">
      <c r="L606" s="5" t="n"/>
    </row>
    <row r="607">
      <c r="L607" s="5" t="n"/>
    </row>
    <row r="608">
      <c r="L608" s="5" t="n"/>
    </row>
    <row r="609">
      <c r="L609" s="5" t="n"/>
    </row>
    <row r="610">
      <c r="L610" s="5" t="n"/>
    </row>
    <row r="611">
      <c r="L611" s="5" t="n"/>
    </row>
    <row r="612">
      <c r="L612" s="5" t="n"/>
    </row>
    <row r="613">
      <c r="L613" s="5" t="n"/>
    </row>
    <row r="614">
      <c r="L614" s="5" t="n"/>
    </row>
    <row r="615">
      <c r="L615" s="5" t="n"/>
    </row>
    <row r="616">
      <c r="L616" s="5" t="n"/>
    </row>
    <row r="617">
      <c r="L617" s="5" t="n"/>
    </row>
    <row r="618">
      <c r="L618" s="5" t="n"/>
    </row>
    <row r="619">
      <c r="L619" s="5" t="n"/>
    </row>
    <row r="620">
      <c r="L620" s="5" t="n"/>
    </row>
    <row r="621">
      <c r="L621" s="5" t="n"/>
    </row>
    <row r="622">
      <c r="L622" s="5" t="n"/>
    </row>
    <row r="623">
      <c r="L623" s="5" t="n"/>
    </row>
    <row r="624">
      <c r="L624" s="5" t="n"/>
    </row>
    <row r="625">
      <c r="L625" s="5" t="n"/>
    </row>
    <row r="626">
      <c r="L626" s="5" t="n"/>
    </row>
    <row r="627">
      <c r="L627" s="5" t="n"/>
    </row>
    <row r="628">
      <c r="L628" s="5" t="n"/>
    </row>
    <row r="629">
      <c r="L629" s="5" t="n"/>
    </row>
    <row r="630">
      <c r="L630" s="5" t="n"/>
    </row>
    <row r="631">
      <c r="L631" s="5" t="n"/>
    </row>
    <row r="632">
      <c r="L632" s="5" t="n"/>
    </row>
    <row r="633">
      <c r="L633" s="5" t="n"/>
    </row>
    <row r="634">
      <c r="L634" s="5" t="n"/>
    </row>
    <row r="635">
      <c r="L635" s="5" t="n"/>
    </row>
    <row r="636">
      <c r="L636" s="5" t="n"/>
    </row>
    <row r="637">
      <c r="L637" s="5" t="n"/>
    </row>
    <row r="638">
      <c r="L638" s="5" t="n"/>
    </row>
    <row r="639">
      <c r="L639" s="5" t="n"/>
    </row>
    <row r="640">
      <c r="L640" s="5" t="n"/>
    </row>
    <row r="641">
      <c r="L641" s="5" t="n"/>
    </row>
    <row r="642">
      <c r="L642" s="5" t="n"/>
    </row>
    <row r="643">
      <c r="L643" s="5" t="n"/>
    </row>
    <row r="644">
      <c r="L644" s="5" t="n"/>
    </row>
    <row r="645">
      <c r="L645" s="5" t="n"/>
    </row>
    <row r="646">
      <c r="L646" s="5" t="n"/>
    </row>
    <row r="647">
      <c r="L647" s="5" t="n"/>
    </row>
    <row r="648">
      <c r="L648" s="5" t="n"/>
    </row>
    <row r="649">
      <c r="L649" s="5" t="n"/>
    </row>
    <row r="650">
      <c r="L650" s="5" t="n"/>
    </row>
    <row r="651">
      <c r="L651" s="5" t="n"/>
    </row>
    <row r="652">
      <c r="L652" s="5" t="n"/>
    </row>
    <row r="653">
      <c r="L653" s="5" t="n"/>
    </row>
    <row r="654">
      <c r="L654" s="5" t="n"/>
    </row>
    <row r="655">
      <c r="L655" s="5" t="n"/>
    </row>
    <row r="656">
      <c r="L656" s="5" t="n"/>
    </row>
    <row r="657">
      <c r="L657" s="5" t="n"/>
    </row>
    <row r="658">
      <c r="L658" s="5" t="n"/>
    </row>
    <row r="659">
      <c r="L659" s="5" t="n"/>
    </row>
    <row r="660">
      <c r="L660" s="5" t="n"/>
    </row>
    <row r="661">
      <c r="L661" s="5" t="n"/>
    </row>
    <row r="662">
      <c r="L662" s="5" t="n"/>
    </row>
    <row r="663">
      <c r="L663" s="5" t="n"/>
    </row>
    <row r="664">
      <c r="L664" s="5" t="n"/>
    </row>
    <row r="665">
      <c r="L665" s="5" t="n"/>
    </row>
    <row r="666">
      <c r="L666" s="5" t="n"/>
    </row>
    <row r="667">
      <c r="L667" s="5" t="n"/>
    </row>
    <row r="668">
      <c r="L668" s="5" t="n"/>
    </row>
    <row r="669">
      <c r="L669" s="5" t="n"/>
    </row>
    <row r="670">
      <c r="L670" s="5" t="n"/>
    </row>
    <row r="671">
      <c r="L671" s="5" t="n"/>
    </row>
    <row r="672">
      <c r="L672" s="5" t="n"/>
    </row>
    <row r="673">
      <c r="L673" s="5" t="n"/>
    </row>
    <row r="674">
      <c r="L674" s="5" t="n"/>
    </row>
    <row r="675">
      <c r="L675" s="5" t="n"/>
    </row>
    <row r="676">
      <c r="L676" s="5" t="n"/>
    </row>
    <row r="677">
      <c r="L677" s="5" t="n"/>
    </row>
    <row r="678">
      <c r="L678" s="5" t="n"/>
    </row>
    <row r="679">
      <c r="L679" s="5" t="n"/>
    </row>
    <row r="680">
      <c r="L680" s="5" t="n"/>
    </row>
    <row r="681">
      <c r="L681" s="5" t="n"/>
    </row>
    <row r="682">
      <c r="L682" s="5" t="n"/>
    </row>
    <row r="683">
      <c r="L683" s="5" t="n"/>
    </row>
    <row r="684">
      <c r="L684" s="5" t="n"/>
    </row>
    <row r="685">
      <c r="L685" s="5" t="n"/>
    </row>
    <row r="686">
      <c r="L686" s="5" t="n"/>
    </row>
    <row r="687">
      <c r="L687" s="5" t="n"/>
    </row>
    <row r="688">
      <c r="L688" s="5" t="n"/>
    </row>
    <row r="689">
      <c r="L689" s="5" t="n"/>
    </row>
    <row r="690">
      <c r="L690" s="5" t="n"/>
    </row>
    <row r="691">
      <c r="L691" s="5" t="n"/>
    </row>
    <row r="692">
      <c r="L692" s="5" t="n"/>
    </row>
    <row r="693">
      <c r="L693" s="5" t="n"/>
    </row>
    <row r="694">
      <c r="L694" s="5" t="n"/>
    </row>
    <row r="695">
      <c r="L695" s="5" t="n"/>
    </row>
    <row r="696">
      <c r="L696" s="5" t="n"/>
    </row>
    <row r="697">
      <c r="L697" s="5" t="n"/>
    </row>
    <row r="698">
      <c r="L698" s="5" t="n"/>
    </row>
    <row r="699">
      <c r="L699" s="5" t="n"/>
    </row>
    <row r="700">
      <c r="L700" s="5" t="n"/>
    </row>
    <row r="701">
      <c r="L701" s="5" t="n"/>
    </row>
    <row r="702">
      <c r="L702" s="5" t="n"/>
    </row>
    <row r="703">
      <c r="L703" s="5" t="n"/>
    </row>
    <row r="704">
      <c r="L704" s="5" t="n"/>
    </row>
    <row r="705">
      <c r="L705" s="5" t="n"/>
    </row>
    <row r="706">
      <c r="L706" s="5" t="n"/>
    </row>
    <row r="707">
      <c r="L707" s="5" t="n"/>
    </row>
    <row r="708">
      <c r="L708" s="5" t="n"/>
    </row>
    <row r="709">
      <c r="L709" s="5" t="n"/>
    </row>
    <row r="710">
      <c r="L710" s="5" t="n"/>
    </row>
    <row r="711">
      <c r="L711" s="5" t="n"/>
    </row>
    <row r="712">
      <c r="L712" s="5" t="n"/>
    </row>
    <row r="713">
      <c r="L713" s="5" t="n"/>
    </row>
    <row r="714">
      <c r="L714" s="5" t="n"/>
    </row>
    <row r="715">
      <c r="L715" s="5" t="n"/>
    </row>
    <row r="716">
      <c r="L716" s="5" t="n"/>
    </row>
    <row r="717">
      <c r="L717" s="5" t="n"/>
    </row>
    <row r="718">
      <c r="L718" s="5" t="n"/>
    </row>
    <row r="719">
      <c r="L719" s="5" t="n"/>
    </row>
    <row r="720">
      <c r="L720" s="5" t="n"/>
    </row>
    <row r="721">
      <c r="L721" s="5" t="n"/>
    </row>
    <row r="722">
      <c r="L722" s="5" t="n"/>
    </row>
    <row r="723">
      <c r="L723" s="5" t="n"/>
    </row>
    <row r="724">
      <c r="L724" s="5" t="n"/>
    </row>
    <row r="725">
      <c r="L725" s="5" t="n"/>
    </row>
    <row r="726">
      <c r="L726" s="5" t="n"/>
    </row>
    <row r="727">
      <c r="L727" s="5" t="n"/>
    </row>
    <row r="728">
      <c r="L728" s="5" t="n"/>
    </row>
    <row r="729">
      <c r="L729" s="5" t="n"/>
    </row>
    <row r="730">
      <c r="L730" s="5" t="n"/>
    </row>
    <row r="731">
      <c r="L731" s="5" t="n"/>
    </row>
    <row r="732">
      <c r="L732" s="5" t="n"/>
    </row>
    <row r="733">
      <c r="L733" s="5" t="n"/>
    </row>
    <row r="734">
      <c r="L734" s="5" t="n"/>
    </row>
    <row r="735">
      <c r="L735" s="5" t="n"/>
    </row>
    <row r="736">
      <c r="L736" s="5" t="n"/>
    </row>
    <row r="737">
      <c r="L737" s="5" t="n"/>
    </row>
    <row r="738">
      <c r="L738" s="5" t="n"/>
    </row>
    <row r="739">
      <c r="L739" s="5" t="n"/>
    </row>
    <row r="740">
      <c r="L740" s="5" t="n"/>
    </row>
    <row r="741">
      <c r="L741" s="5" t="n"/>
    </row>
    <row r="742">
      <c r="L742" s="5" t="n"/>
    </row>
    <row r="743">
      <c r="L743" s="5" t="n"/>
    </row>
    <row r="744">
      <c r="L744" s="5" t="n"/>
    </row>
    <row r="745">
      <c r="L745" s="5" t="n"/>
    </row>
    <row r="746">
      <c r="L746" s="5" t="n"/>
    </row>
    <row r="747">
      <c r="L747" s="5" t="n"/>
    </row>
    <row r="748">
      <c r="L748" s="5" t="n"/>
    </row>
    <row r="749">
      <c r="L749" s="5" t="n"/>
    </row>
    <row r="750">
      <c r="L750" s="5" t="n"/>
    </row>
    <row r="751">
      <c r="L751" s="5" t="n"/>
    </row>
    <row r="752">
      <c r="L752" s="5" t="n"/>
    </row>
    <row r="753">
      <c r="L753" s="5" t="n"/>
    </row>
    <row r="754">
      <c r="L754" s="5" t="n"/>
    </row>
    <row r="755">
      <c r="L755" s="5" t="n"/>
    </row>
    <row r="756">
      <c r="L756" s="5" t="n"/>
    </row>
    <row r="757">
      <c r="L757" s="5" t="n"/>
    </row>
    <row r="758">
      <c r="L758" s="5" t="n"/>
    </row>
    <row r="759">
      <c r="L759" s="5" t="n"/>
    </row>
    <row r="760">
      <c r="L760" s="5" t="n"/>
    </row>
    <row r="761">
      <c r="L761" s="5" t="n"/>
    </row>
    <row r="762">
      <c r="L762" s="5" t="n"/>
    </row>
    <row r="763">
      <c r="L763" s="5" t="n"/>
    </row>
    <row r="764">
      <c r="L764" s="5" t="n"/>
    </row>
    <row r="765">
      <c r="L765" s="5" t="n"/>
    </row>
    <row r="766">
      <c r="L766" s="5" t="n"/>
    </row>
    <row r="767">
      <c r="L767" s="5" t="n"/>
    </row>
    <row r="768">
      <c r="L768" s="5" t="n"/>
    </row>
    <row r="769">
      <c r="L769" s="5" t="n"/>
    </row>
    <row r="770">
      <c r="L770" s="5" t="n"/>
    </row>
    <row r="771">
      <c r="L771" s="5" t="n"/>
    </row>
    <row r="772">
      <c r="L772" s="5" t="n"/>
    </row>
    <row r="773">
      <c r="L773" s="5" t="n"/>
    </row>
    <row r="774">
      <c r="L774" s="5" t="n"/>
    </row>
    <row r="775">
      <c r="L775" s="5" t="n"/>
    </row>
    <row r="776">
      <c r="L776" s="5" t="n"/>
    </row>
    <row r="777">
      <c r="L777" s="5" t="n"/>
    </row>
    <row r="778">
      <c r="L778" s="5" t="n"/>
    </row>
    <row r="779">
      <c r="L779" s="5" t="n"/>
    </row>
    <row r="780">
      <c r="L780" s="5" t="n"/>
    </row>
    <row r="781">
      <c r="L781" s="5" t="n"/>
    </row>
    <row r="782">
      <c r="L782" s="5" t="n"/>
    </row>
    <row r="783">
      <c r="L783" s="5" t="n"/>
    </row>
    <row r="784">
      <c r="L784" s="5" t="n"/>
    </row>
    <row r="785">
      <c r="L785" s="5" t="n"/>
    </row>
    <row r="786">
      <c r="L786" s="5" t="n"/>
    </row>
    <row r="787">
      <c r="L787" s="5" t="n"/>
    </row>
    <row r="788">
      <c r="L788" s="5" t="n"/>
    </row>
    <row r="789">
      <c r="L789" s="5" t="n"/>
    </row>
    <row r="790">
      <c r="L790" s="5" t="n"/>
    </row>
    <row r="791">
      <c r="L791" s="5" t="n"/>
    </row>
    <row r="792">
      <c r="L792" s="5" t="n"/>
    </row>
    <row r="793">
      <c r="L793" s="5" t="n"/>
    </row>
    <row r="794">
      <c r="L794" s="5" t="n"/>
    </row>
    <row r="795">
      <c r="L795" s="5" t="n"/>
    </row>
    <row r="796">
      <c r="L796" s="5" t="n"/>
    </row>
    <row r="797">
      <c r="L797" s="5" t="n"/>
    </row>
    <row r="798">
      <c r="L798" s="5" t="n"/>
    </row>
    <row r="799">
      <c r="L799" s="5" t="n"/>
    </row>
    <row r="800">
      <c r="L800" s="5" t="n"/>
    </row>
    <row r="801">
      <c r="L801" s="5" t="n"/>
    </row>
    <row r="802">
      <c r="L802" s="5" t="n"/>
    </row>
    <row r="803">
      <c r="L803" s="5" t="n"/>
    </row>
    <row r="804">
      <c r="L804" s="5" t="n"/>
    </row>
    <row r="805">
      <c r="L805" s="5" t="n"/>
    </row>
    <row r="806">
      <c r="L806" s="5" t="n"/>
    </row>
    <row r="807">
      <c r="L807" s="5" t="n"/>
    </row>
    <row r="808">
      <c r="L808" s="5" t="n"/>
    </row>
    <row r="809">
      <c r="L809" s="5" t="n"/>
    </row>
    <row r="810">
      <c r="L810" s="5" t="n"/>
    </row>
    <row r="811">
      <c r="L811" s="5" t="n"/>
    </row>
    <row r="812">
      <c r="L812" s="5" t="n"/>
    </row>
    <row r="813">
      <c r="L813" s="5" t="n"/>
    </row>
    <row r="814">
      <c r="L814" s="5" t="n"/>
    </row>
    <row r="815">
      <c r="L815" s="5" t="n"/>
    </row>
    <row r="816">
      <c r="L816" s="5" t="n"/>
    </row>
    <row r="817">
      <c r="L817" s="5" t="n"/>
    </row>
    <row r="818">
      <c r="L818" s="5" t="n"/>
    </row>
    <row r="819">
      <c r="L819" s="5" t="n"/>
    </row>
    <row r="820">
      <c r="L820" s="5" t="n"/>
    </row>
    <row r="821">
      <c r="L821" s="5" t="n"/>
    </row>
    <row r="822">
      <c r="L822" s="5" t="n"/>
    </row>
    <row r="823">
      <c r="L823" s="5" t="n"/>
    </row>
    <row r="824">
      <c r="L824" s="5" t="n"/>
    </row>
    <row r="825">
      <c r="L825" s="5" t="n"/>
    </row>
    <row r="826">
      <c r="L826" s="5" t="n"/>
    </row>
    <row r="827">
      <c r="L827" s="5" t="n"/>
    </row>
    <row r="828">
      <c r="L828" s="5" t="n"/>
    </row>
    <row r="829">
      <c r="L829" s="5" t="n"/>
    </row>
    <row r="830">
      <c r="L830" s="5" t="n"/>
    </row>
    <row r="831">
      <c r="L831" s="5" t="n"/>
    </row>
    <row r="832">
      <c r="L832" s="5" t="n"/>
    </row>
    <row r="833">
      <c r="L833" s="5" t="n"/>
    </row>
    <row r="834">
      <c r="L834" s="5" t="n"/>
    </row>
    <row r="835">
      <c r="L835" s="5" t="n"/>
    </row>
    <row r="836">
      <c r="L836" s="5" t="n"/>
    </row>
    <row r="837">
      <c r="L837" s="5" t="n"/>
    </row>
    <row r="838">
      <c r="L838" s="5" t="n"/>
    </row>
    <row r="839">
      <c r="L839" s="5" t="n"/>
    </row>
    <row r="840">
      <c r="L840" s="5" t="n"/>
    </row>
    <row r="841">
      <c r="L841" s="5" t="n"/>
    </row>
    <row r="842">
      <c r="L842" s="5" t="n"/>
    </row>
    <row r="843">
      <c r="L843" s="5" t="n"/>
    </row>
    <row r="844">
      <c r="L844" s="5" t="n"/>
    </row>
    <row r="845">
      <c r="L845" s="5" t="n"/>
    </row>
    <row r="846">
      <c r="L846" s="5" t="n"/>
    </row>
    <row r="847">
      <c r="L847" s="5" t="n"/>
    </row>
    <row r="848">
      <c r="L848" s="5" t="n"/>
    </row>
    <row r="849">
      <c r="L849" s="5" t="n"/>
    </row>
    <row r="850">
      <c r="L850" s="5" t="n"/>
    </row>
    <row r="851">
      <c r="L851" s="5" t="n"/>
    </row>
    <row r="852">
      <c r="L852" s="5" t="n"/>
    </row>
    <row r="853">
      <c r="L853" s="5" t="n"/>
    </row>
    <row r="854">
      <c r="L854" s="5" t="n"/>
    </row>
    <row r="855">
      <c r="L855" s="5" t="n"/>
    </row>
    <row r="856">
      <c r="L856" s="5" t="n"/>
    </row>
    <row r="857">
      <c r="L857" s="5" t="n"/>
    </row>
    <row r="858">
      <c r="L858" s="5" t="n"/>
    </row>
    <row r="859">
      <c r="L859" s="5" t="n"/>
    </row>
    <row r="860">
      <c r="L860" s="5" t="n"/>
    </row>
    <row r="861">
      <c r="L861" s="5" t="n"/>
    </row>
    <row r="862">
      <c r="L862" s="5" t="n"/>
    </row>
    <row r="863">
      <c r="L863" s="5" t="n"/>
    </row>
    <row r="864">
      <c r="L864" s="5" t="n"/>
    </row>
    <row r="865">
      <c r="L865" s="5" t="n"/>
    </row>
    <row r="866">
      <c r="L866" s="5" t="n"/>
    </row>
    <row r="867">
      <c r="L867" s="5" t="n"/>
    </row>
    <row r="868">
      <c r="L868" s="5" t="n"/>
    </row>
    <row r="869">
      <c r="L869" s="5" t="n"/>
    </row>
    <row r="870">
      <c r="L870" s="5" t="n"/>
    </row>
    <row r="871">
      <c r="L871" s="5" t="n"/>
    </row>
    <row r="872">
      <c r="L872" s="5" t="n"/>
    </row>
    <row r="873">
      <c r="L873" s="5" t="n"/>
    </row>
    <row r="874">
      <c r="L874" s="5" t="n"/>
    </row>
    <row r="875">
      <c r="L875" s="5" t="n"/>
    </row>
    <row r="876">
      <c r="L876" s="5" t="n"/>
    </row>
    <row r="877">
      <c r="L877" s="5" t="n"/>
    </row>
    <row r="878">
      <c r="L878" s="5" t="n"/>
    </row>
    <row r="879">
      <c r="L879" s="5" t="n"/>
    </row>
    <row r="880">
      <c r="L880" s="5" t="n"/>
    </row>
    <row r="881">
      <c r="L881" s="5" t="n"/>
    </row>
    <row r="882">
      <c r="L882" s="5" t="n"/>
    </row>
    <row r="883">
      <c r="L883" s="5" t="n"/>
    </row>
    <row r="884">
      <c r="L884" s="5" t="n"/>
    </row>
    <row r="885">
      <c r="L885" s="5" t="n"/>
    </row>
    <row r="886">
      <c r="L886" s="5" t="n"/>
    </row>
    <row r="887">
      <c r="L887" s="5" t="n"/>
    </row>
    <row r="888">
      <c r="L888" s="5" t="n"/>
    </row>
    <row r="889">
      <c r="L889" s="5" t="n"/>
    </row>
    <row r="890">
      <c r="L890" s="5" t="n"/>
    </row>
    <row r="891">
      <c r="L891" s="5" t="n"/>
    </row>
    <row r="892">
      <c r="L892" s="5" t="n"/>
    </row>
    <row r="893">
      <c r="L893" s="5" t="n"/>
    </row>
    <row r="894">
      <c r="L894" s="5" t="n"/>
    </row>
    <row r="895">
      <c r="L895" s="5" t="n"/>
    </row>
    <row r="896">
      <c r="L896" s="5" t="n"/>
    </row>
    <row r="897">
      <c r="L897" s="5" t="n"/>
    </row>
    <row r="898">
      <c r="L898" s="5" t="n"/>
    </row>
    <row r="899">
      <c r="L899" s="5" t="n"/>
    </row>
    <row r="900">
      <c r="L900" s="5" t="n"/>
    </row>
    <row r="901">
      <c r="L901" s="5" t="n"/>
    </row>
    <row r="902">
      <c r="L902" s="5" t="n"/>
    </row>
    <row r="903">
      <c r="L903" s="5" t="n"/>
    </row>
    <row r="904">
      <c r="L904" s="5" t="n"/>
    </row>
    <row r="905">
      <c r="L905" s="5" t="n"/>
    </row>
    <row r="906">
      <c r="L906" s="5" t="n"/>
    </row>
    <row r="907">
      <c r="L907" s="5" t="n"/>
    </row>
    <row r="908">
      <c r="L908" s="5" t="n"/>
    </row>
    <row r="909">
      <c r="L909" s="5" t="n"/>
    </row>
    <row r="910">
      <c r="L910" s="5" t="n"/>
    </row>
    <row r="911">
      <c r="L911" s="5" t="n"/>
    </row>
    <row r="912">
      <c r="L912" s="5" t="n"/>
    </row>
    <row r="913">
      <c r="L913" s="5" t="n"/>
    </row>
    <row r="914">
      <c r="L914" s="5" t="n"/>
    </row>
    <row r="915">
      <c r="L915" s="5" t="n"/>
    </row>
    <row r="916">
      <c r="L916" s="5" t="n"/>
    </row>
    <row r="917">
      <c r="L917" s="5" t="n"/>
    </row>
    <row r="918">
      <c r="L918" s="5" t="n"/>
    </row>
    <row r="919">
      <c r="L919" s="5" t="n"/>
    </row>
    <row r="920">
      <c r="L920" s="5" t="n"/>
    </row>
    <row r="921">
      <c r="L921" s="5" t="n"/>
    </row>
    <row r="922">
      <c r="L922" s="5" t="n"/>
    </row>
    <row r="923">
      <c r="L923" s="5" t="n"/>
    </row>
    <row r="924">
      <c r="L924" s="5" t="n"/>
    </row>
    <row r="925">
      <c r="L925" s="5" t="n"/>
    </row>
    <row r="926">
      <c r="L926" s="5" t="n"/>
    </row>
    <row r="927">
      <c r="L927" s="5" t="n"/>
    </row>
    <row r="928">
      <c r="L928" s="5" t="n"/>
    </row>
    <row r="929">
      <c r="L929" s="5" t="n"/>
    </row>
    <row r="930">
      <c r="L930" s="5" t="n"/>
    </row>
    <row r="931">
      <c r="L931" s="5" t="n"/>
    </row>
    <row r="932">
      <c r="L932" s="5" t="n"/>
    </row>
    <row r="933">
      <c r="L933" s="5" t="n"/>
    </row>
    <row r="934">
      <c r="L934" s="5" t="n"/>
    </row>
    <row r="935">
      <c r="L935" s="5" t="n"/>
    </row>
    <row r="936">
      <c r="L936" s="5" t="n"/>
    </row>
    <row r="937">
      <c r="L937" s="5" t="n"/>
    </row>
    <row r="938">
      <c r="L938" s="5" t="n"/>
    </row>
    <row r="939">
      <c r="L939" s="5" t="n"/>
    </row>
    <row r="940">
      <c r="L940" s="5" t="n"/>
    </row>
    <row r="941">
      <c r="L941" s="5" t="n"/>
    </row>
    <row r="942">
      <c r="L942" s="5" t="n"/>
    </row>
    <row r="943">
      <c r="L943" s="5" t="n"/>
    </row>
    <row r="944">
      <c r="L944" s="5" t="n"/>
    </row>
    <row r="945">
      <c r="L945" s="5" t="n"/>
    </row>
    <row r="946">
      <c r="L946" s="5" t="n"/>
    </row>
    <row r="947">
      <c r="L947" s="5" t="n"/>
    </row>
    <row r="948">
      <c r="L948" s="5" t="n"/>
    </row>
    <row r="949">
      <c r="L949" s="5" t="n"/>
    </row>
    <row r="950">
      <c r="L950" s="5" t="n"/>
    </row>
    <row r="951">
      <c r="L951" s="5" t="n"/>
    </row>
    <row r="952">
      <c r="L952" s="5" t="n"/>
    </row>
    <row r="953">
      <c r="L953" s="5" t="n"/>
    </row>
    <row r="954">
      <c r="L954" s="5" t="n"/>
    </row>
    <row r="955">
      <c r="L955" s="5" t="n"/>
    </row>
    <row r="956">
      <c r="L956" s="5" t="n"/>
    </row>
    <row r="957">
      <c r="L957" s="5" t="n"/>
    </row>
    <row r="958">
      <c r="L958" s="5" t="n"/>
    </row>
    <row r="959">
      <c r="L959" s="5" t="n"/>
    </row>
    <row r="960">
      <c r="L960" s="5" t="n"/>
    </row>
    <row r="961">
      <c r="L961" s="5" t="n"/>
    </row>
    <row r="962">
      <c r="L962" s="5" t="n"/>
    </row>
    <row r="963">
      <c r="L963" s="5" t="n"/>
    </row>
    <row r="964">
      <c r="L964" s="5" t="n"/>
    </row>
    <row r="965">
      <c r="L965" s="5" t="n"/>
    </row>
    <row r="966">
      <c r="L966" s="5" t="n"/>
    </row>
    <row r="967">
      <c r="L967" s="5" t="n"/>
    </row>
    <row r="968">
      <c r="L968" s="5" t="n"/>
    </row>
    <row r="969">
      <c r="L969" s="5" t="n"/>
    </row>
    <row r="970">
      <c r="L970" s="5" t="n"/>
    </row>
    <row r="971">
      <c r="L971" s="5" t="n"/>
    </row>
    <row r="972">
      <c r="L972" s="5" t="n"/>
    </row>
    <row r="973">
      <c r="L973" s="5" t="n"/>
    </row>
    <row r="974">
      <c r="L974" s="5" t="n"/>
    </row>
    <row r="975">
      <c r="L975" s="5" t="n"/>
    </row>
    <row r="976">
      <c r="L976" s="5" t="n"/>
    </row>
    <row r="977">
      <c r="L977" s="5" t="n"/>
    </row>
    <row r="978">
      <c r="L978" s="5" t="n"/>
    </row>
    <row r="979">
      <c r="L979" s="5" t="n"/>
    </row>
    <row r="980">
      <c r="L980" s="5" t="n"/>
    </row>
    <row r="981">
      <c r="L981" s="5" t="n"/>
    </row>
    <row r="982">
      <c r="L982" s="5" t="n"/>
    </row>
    <row r="983">
      <c r="L983" s="5" t="n"/>
    </row>
    <row r="984">
      <c r="L984" s="5" t="n"/>
    </row>
    <row r="985">
      <c r="L985" s="5" t="n"/>
    </row>
    <row r="986">
      <c r="L986" s="5" t="n"/>
    </row>
    <row r="987">
      <c r="L987" s="5" t="n"/>
    </row>
    <row r="988">
      <c r="L988" s="5" t="n"/>
    </row>
    <row r="989">
      <c r="L989" s="5" t="n"/>
    </row>
    <row r="990">
      <c r="L990" s="5" t="n"/>
    </row>
    <row r="991">
      <c r="L991" s="5" t="n"/>
    </row>
    <row r="992">
      <c r="L992" s="5" t="n"/>
    </row>
    <row r="993">
      <c r="L993" s="5" t="n"/>
    </row>
    <row r="994">
      <c r="L994" s="5" t="n"/>
    </row>
    <row r="995">
      <c r="L995" s="5" t="n"/>
    </row>
    <row r="996">
      <c r="L996" s="5" t="n"/>
    </row>
    <row r="997">
      <c r="L997" s="5" t="n"/>
    </row>
    <row r="998">
      <c r="L998" s="5" t="n"/>
    </row>
    <row r="999">
      <c r="L999"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62" customWidth="1" min="3" max="3"/>
    <col width="52" customWidth="1" min="4" max="4"/>
    <col width="20" customWidth="1" min="5" max="5"/>
  </cols>
  <sheetData>
    <row r="1">
      <c r="A1" s="1" t="inlineStr">
        <is>
          <t>#</t>
        </is>
      </c>
      <c r="B1" s="1" t="inlineStr">
        <is>
          <t>Area</t>
        </is>
      </c>
      <c r="C1" s="1" t="inlineStr">
        <is>
          <t>Question for the product owner</t>
        </is>
      </c>
      <c r="D1" s="1" t="inlineStr">
        <is>
          <t>Assumption used</t>
        </is>
      </c>
      <c r="E1" s="1" t="inlineStr">
        <is>
          <t>Related</t>
        </is>
      </c>
    </row>
    <row r="2">
      <c r="A2" s="39" t="n">
        <v>1</v>
      </c>
      <c r="B2" s="40" t="inlineStr">
        <is>
          <t>Release notes</t>
        </is>
      </c>
      <c r="C2" s="40" t="inlineStr">
        <is>
          <t>The design doc says approved changes after v1.0 are in the Release notes. Which v1.0 rules have changed?</t>
        </is>
      </c>
      <c r="D2" s="40" t="inlineStr">
        <is>
          <t>Tested against design v1.0. Any defect that an approved release note covers (e.g. DEF-011) should be closed.</t>
        </is>
      </c>
      <c r="E2" s="40" t="inlineStr">
        <is>
          <t>All</t>
        </is>
      </c>
    </row>
    <row r="3">
      <c r="A3" s="39" t="n">
        <v>2</v>
      </c>
      <c r="B3" s="40" t="inlineStr">
        <is>
          <t>BR-04 Minimum order</t>
        </is>
      </c>
      <c r="C3" s="40" t="inlineStr">
        <is>
          <t>The app enforces ₹2,000 per seller by default; the design says ₹1,500. Which is correct?</t>
        </is>
      </c>
      <c r="D3" s="40" t="inlineStr">
        <is>
          <t>₹1,500 is the requirement (logged as DEF-011).</t>
        </is>
      </c>
      <c r="E3" s="40" t="inlineStr">
        <is>
          <t>DEF-011, TC-04-05</t>
        </is>
      </c>
    </row>
    <row r="4">
      <c r="A4" s="39" t="n">
        <v>3</v>
      </c>
      <c r="B4" s="40" t="inlineStr">
        <is>
          <t>BR-04 Multi-seller checkout</t>
        </is>
      </c>
      <c r="C4" s="40" t="inlineStr">
        <is>
          <t>If one seller in a checkout is below the minimum, should the whole checkout be blocked or only that seller's sub-order?</t>
        </is>
      </c>
      <c r="D4" s="40" t="inlineStr">
        <is>
          <t>The whole checkout is blocked, with a message naming the seller.</t>
        </is>
      </c>
      <c r="E4" s="40" t="inlineStr">
        <is>
          <t>DEF-010, TC-04-07</t>
        </is>
      </c>
    </row>
    <row r="5">
      <c r="A5" s="39" t="n">
        <v>4</v>
      </c>
      <c r="B5" s="40" t="inlineStr">
        <is>
          <t>BR-11 / BR-04 Operator settings</t>
        </is>
      </c>
      <c r="C5" s="40" t="inlineStr">
        <is>
          <t>Operator settings let the cancellation window and minimum order be changed, but the design states them as fixed (5 minutes, ₹1,500). Are they meant to be configurable?</t>
        </is>
      </c>
      <c r="D5" s="40" t="inlineStr">
        <is>
          <t>Yes, they are configurable (BR-23), but the design values are the defaults to test against.</t>
        </is>
      </c>
      <c r="E5" s="40" t="inlineStr">
        <is>
          <t>TC-19-03, TC-19-04</t>
        </is>
      </c>
    </row>
    <row r="6">
      <c r="A6" s="39" t="n">
        <v>5</v>
      </c>
      <c r="B6" s="40" t="inlineStr">
        <is>
          <t>Pilot OPS-14</t>
        </is>
      </c>
      <c r="C6" s="40" t="inlineStr">
        <is>
          <t>The settings page shows 'buyer3 has free delivery until 31 Oct 2026'. This is not in the design. Does it waive the full ₹118 fee, and should the invoice show a ₹0 fee line?</t>
        </is>
      </c>
      <c r="D6" s="40" t="inlineStr">
        <is>
          <t>buyer3 pays ₹0 delivery until 31 Oct inclusive; normal BR-08 rules apply from 1 Nov.</t>
        </is>
      </c>
      <c r="E6" s="40" t="inlineStr">
        <is>
          <t>TC-19-05</t>
        </is>
      </c>
    </row>
    <row r="7">
      <c r="A7" s="39" t="n">
        <v>6</v>
      </c>
      <c r="B7" s="40" t="inlineStr">
        <is>
          <t>BR-16 Reorder and existing cart</t>
        </is>
      </c>
      <c r="C7" s="40" t="inlineStr">
        <is>
          <t>Should Reorder add the past order's lines to items already in the cart, or replace the cart?</t>
        </is>
      </c>
      <c r="D7" s="40" t="inlineStr">
        <is>
          <t>Lines are added to the existing cart, as BR-16 says 'adds every line… to the cart'.</t>
        </is>
      </c>
      <c r="E7" s="40" t="inlineStr">
        <is>
          <t>TC-10-02</t>
        </is>
      </c>
    </row>
    <row r="8">
      <c r="A8" s="39" t="n">
        <v>7</v>
      </c>
      <c r="B8" s="40" t="inlineStr">
        <is>
          <t>BR-16 Reorder and stock</t>
        </is>
      </c>
      <c r="C8" s="40" t="inlineStr">
        <is>
          <t>What should Reorder do when a line cannot be filled from current stock?</t>
        </is>
      </c>
      <c r="D8" s="40" t="inlineStr">
        <is>
          <t>Add what it can and tell the buyer which line was skipped.</t>
        </is>
      </c>
      <c r="E8" s="40" t="inlineStr">
        <is>
          <t>DEF-015</t>
        </is>
      </c>
    </row>
    <row r="9">
      <c r="A9" s="39" t="n">
        <v>8</v>
      </c>
      <c r="B9" s="40" t="inlineStr">
        <is>
          <t>BR-06 Cut-off boundary</t>
        </is>
      </c>
      <c r="C9" s="40" t="inlineStr">
        <is>
          <t>Is an order at exactly 10:00:00 'before the cut-off'?</t>
        </is>
      </c>
      <c r="D9" s="40" t="inlineStr">
        <is>
          <t>09:59:59 is allowed; 10:00:00 is not.</t>
        </is>
      </c>
      <c r="E9" s="40" t="inlineStr">
        <is>
          <t>TC-05-03</t>
        </is>
      </c>
    </row>
    <row r="10">
      <c r="A10" s="39" t="n">
        <v>9</v>
      </c>
      <c r="B10" s="40" t="inlineStr">
        <is>
          <t>BR-08 Fee boundary</t>
        </is>
      </c>
      <c r="C10" s="40" t="inlineStr">
        <is>
          <t>Is the delivery fee charged at exactly ₹3,000.00 net?</t>
        </is>
      </c>
      <c r="D10" s="40" t="inlineStr">
        <is>
          <t>No fee at ₹3,000.00 and above.</t>
        </is>
      </c>
      <c r="E10" s="40" t="inlineStr">
        <is>
          <t>TC-04-04</t>
        </is>
      </c>
    </row>
    <row r="11">
      <c r="A11" s="39" t="n">
        <v>10</v>
      </c>
      <c r="B11" s="40" t="inlineStr">
        <is>
          <t>BR-05 Slot capacity</t>
        </is>
      </c>
      <c r="C11" s="40" t="inlineStr">
        <is>
          <t>Is slot capacity counted per sub-order or per checkout, and does a cancelled order free its place?</t>
        </is>
      </c>
      <c r="D11" s="40" t="inlineStr">
        <is>
          <t>Each sub-order counts as one order; cancelled orders free the place.</t>
        </is>
      </c>
      <c r="E11" s="40" t="inlineStr">
        <is>
          <t>TC-05-04</t>
        </is>
      </c>
    </row>
    <row r="12">
      <c r="A12" s="39" t="n">
        <v>11</v>
      </c>
      <c r="B12" s="40" t="inlineStr">
        <is>
          <t>BR-17 / BR-18 Refunds</t>
        </is>
      </c>
      <c r="C12" s="40" t="inlineStr">
        <is>
          <t>Is the delivery fee refunded on a full refund? Does a rejected request free its quantity for a new request?</t>
        </is>
      </c>
      <c r="D12" s="40" t="inlineStr">
        <is>
          <t>The delivery fee is not refunded; a rejected quantity can be requested again.</t>
        </is>
      </c>
      <c r="E12" s="40" t="inlineStr">
        <is>
          <t>TC-11-02, TC-11-03</t>
        </is>
      </c>
    </row>
    <row r="13">
      <c r="A13" s="39" t="n">
        <v>12</v>
      </c>
      <c r="B13" s="40" t="inlineStr">
        <is>
          <t>BR-20 Statement month</t>
        </is>
      </c>
      <c r="C13" s="40" t="inlineStr">
        <is>
          <t>Is an order included by its delivery date, and is a refund deducted in the month it is approved?</t>
        </is>
      </c>
      <c r="D13" s="40" t="inlineStr">
        <is>
          <t>Delivery date; refunds in the month approved.</t>
        </is>
      </c>
      <c r="E13" s="40" t="inlineStr">
        <is>
          <t>TC-13-01</t>
        </is>
      </c>
    </row>
    <row r="14">
      <c r="A14" s="39" t="n">
        <v>13</v>
      </c>
      <c r="B14" s="40" t="inlineStr">
        <is>
          <t>BR-12 Seller cancellation</t>
        </is>
      </c>
      <c r="C14" s="40" t="inlineStr">
        <is>
          <t>Can a seller cancel an order after the buyer's 5-minute window, and how is the buyer told?</t>
        </is>
      </c>
      <c r="D14" s="40" t="inlineStr">
        <is>
          <t>Yes, for placed and accepted orders; the buyer must see Cancelled immediately.</t>
        </is>
      </c>
      <c r="E14" s="40" t="inlineStr">
        <is>
          <t>DEF-009</t>
        </is>
      </c>
    </row>
    <row r="15">
      <c r="A15" s="39" t="n">
        <v>14</v>
      </c>
      <c r="B15" s="40" t="inlineStr">
        <is>
          <t>IF-01 CSV import</t>
        </is>
      </c>
      <c r="C15" s="40" t="inlineStr">
        <is>
          <t>Must case_price equal piece_price × case_size? Is a duplicate SKU inside one file an error?</t>
        </is>
      </c>
      <c r="D15" s="40" t="inlineStr">
        <is>
          <t>No price consistency check; a duplicate SKU in one file is reported as an error.</t>
        </is>
      </c>
      <c r="E15" s="40" t="inlineStr">
        <is>
          <t>TC-17-01, TC-17-02</t>
        </is>
      </c>
    </row>
    <row r="16">
      <c r="A16" s="39" t="n">
        <v>15</v>
      </c>
      <c r="B16" s="40" t="inlineStr">
        <is>
          <t>Inquiries</t>
        </is>
      </c>
      <c r="C16" s="40" t="inlineStr">
        <is>
          <t>'Message seller' has no rules in the design (length, attachments, notifications). What is expected?</t>
        </is>
      </c>
      <c r="D16" s="40" t="inlineStr">
        <is>
          <t>Plain-text message, one thread per order, visible only to that buyer and seller.</t>
        </is>
      </c>
      <c r="E16" s="40" t="inlineStr">
        <is>
          <t>DEF-014</t>
        </is>
      </c>
    </row>
    <row r="17">
      <c r="A17" s="39" t="n">
        <v>16</v>
      </c>
      <c r="B17" s="40" t="inlineStr">
        <is>
          <t>Money format</t>
        </is>
      </c>
      <c r="C17" s="40" t="inlineStr">
        <is>
          <t>Mock-ups show ₹2,436.40 but the app shows ₹2436.40. Is the separator required?</t>
        </is>
      </c>
      <c r="D17" s="40" t="inlineStr">
        <is>
          <t>Yes, the mock-up format is the requirement (logged as DEF-007).</t>
        </is>
      </c>
      <c r="E17" s="40" t="inlineStr">
        <is>
          <t>DEF-007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2026-10-15T01:33:00Z</dcterms:created>
  <dcterms:modified xmlns:dcterms="http://purl.org/dc/terms/" xmlns:xsi="http://www.w3.org/2001/XMLSchema-instance" xsi:type="dcterms:W3CDTF">2026-10-14T15:17:47Z</dcterms:modified>
  <cp:lastModifiedBy>Purushoth Kumar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2DAC522A950FA1AA5093CF6A6CA2D39D_42</vt:lpwstr>
  </property>
  <property name="KSOProductBuildVer" fmtid="{D5CDD505-2E9C-101B-9397-08002B2CF9AE}" pid="3">
    <vt:lpwstr xmlns:vt="http://schemas.openxmlformats.org/officeDocument/2006/docPropsVTypes">1033-12.1.23153.23153</vt:lpwstr>
  </property>
</Properties>
</file>